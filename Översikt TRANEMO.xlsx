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46216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Y2">
        <f>HYPERLINK("https://klasma.github.io/Logging_1452/klagomål/A 33970-2024 FSC-klagomål.docx", "A 33970-2024")</f>
        <v/>
      </c>
      <c r="Z2">
        <f>HYPERLINK("https://klasma.github.io/Logging_1452/klagomålsmail/A 33970-2024 FSC-klagomål mail.docx", "A 33970-2024")</f>
        <v/>
      </c>
      <c r="AA2">
        <f>HYPERLINK("https://klasma.github.io/Logging_1452/tillsyn/A 33970-2024 tillsynsbegäran.docx", "A 33970-2024")</f>
        <v/>
      </c>
      <c r="AB2">
        <f>HYPERLINK("https://klasma.github.io/Logging_1452/tillsynsmail/A 33970-2024 tillsynsbegäran mail.docx", "A 33970-2024")</f>
        <v/>
      </c>
      <c r="AC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46216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Y3">
        <f>HYPERLINK("https://klasma.github.io/Logging_1452/klagomål/A 33612-2023 FSC-klagomål.docx", "A 33612-2023")</f>
        <v/>
      </c>
      <c r="Z3">
        <f>HYPERLINK("https://klasma.github.io/Logging_1452/klagomålsmail/A 33612-2023 FSC-klagomål mail.docx", "A 33612-2023")</f>
        <v/>
      </c>
      <c r="AA3">
        <f>HYPERLINK("https://klasma.github.io/Logging_1452/tillsyn/A 33612-2023 tillsynsbegäran.docx", "A 33612-2023")</f>
        <v/>
      </c>
      <c r="AB3">
        <f>HYPERLINK("https://klasma.github.io/Logging_1452/tillsynsmail/A 33612-2023 tillsynsbegäran mail.docx", "A 33612-2023")</f>
        <v/>
      </c>
      <c r="AC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46216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Y4">
        <f>HYPERLINK("https://klasma.github.io/Logging_1452/klagomål/S 2080-2024 FSC-klagomål.docx", "S 2080-2024")</f>
        <v/>
      </c>
      <c r="Z4">
        <f>HYPERLINK("https://klasma.github.io/Logging_1452/klagomålsmail/S 2080-2024 FSC-klagomål mail.docx", "S 2080-2024")</f>
        <v/>
      </c>
      <c r="AA4">
        <f>HYPERLINK("https://klasma.github.io/Logging_1452/tillsyn/S 2080-2024 tillsynsbegäran.docx", "S 2080-2024")</f>
        <v/>
      </c>
      <c r="AB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46216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Y5">
        <f>HYPERLINK("https://klasma.github.io/Logging_1452/klagomål/A 25348-2023 FSC-klagomål.docx", "A 25348-2023")</f>
        <v/>
      </c>
      <c r="Z5">
        <f>HYPERLINK("https://klasma.github.io/Logging_1452/klagomålsmail/A 25348-2023 FSC-klagomål mail.docx", "A 25348-2023")</f>
        <v/>
      </c>
      <c r="AA5">
        <f>HYPERLINK("https://klasma.github.io/Logging_1452/tillsyn/A 25348-2023 tillsynsbegäran.docx", "A 25348-2023")</f>
        <v/>
      </c>
      <c r="AB5">
        <f>HYPERLINK("https://klasma.github.io/Logging_1452/tillsynsmail/A 25348-2023 tillsynsbegäran mail.docx", "A 25348-2023")</f>
        <v/>
      </c>
      <c r="AC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46216</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Y6">
        <f>HYPERLINK("https://klasma.github.io/Logging_1452/klagomål/A 44635-2025 FSC-klagomål.docx", "A 44635-2025")</f>
        <v/>
      </c>
      <c r="Z6">
        <f>HYPERLINK("https://klasma.github.io/Logging_1452/klagomålsmail/A 44635-2025 FSC-klagomål mail.docx", "A 44635-2025")</f>
        <v/>
      </c>
      <c r="AA6">
        <f>HYPERLINK("https://klasma.github.io/Logging_1452/tillsyn/A 44635-2025 tillsynsbegäran.docx", "A 44635-2025")</f>
        <v/>
      </c>
      <c r="AB6">
        <f>HYPERLINK("https://klasma.github.io/Logging_1452/tillsynsmail/A 44635-2025 tillsynsbegäran mail.docx", "A 44635-2025")</f>
        <v/>
      </c>
      <c r="AC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46216</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Y7">
        <f>HYPERLINK("https://klasma.github.io/Logging_1452/klagomål/S 3594-2022 FSC-klagomål.docx", "S 3594-2022")</f>
        <v/>
      </c>
      <c r="Z7">
        <f>HYPERLINK("https://klasma.github.io/Logging_1452/klagomålsmail/S 3594-2022 FSC-klagomål mail.docx", "S 3594-2022")</f>
        <v/>
      </c>
      <c r="AA7">
        <f>HYPERLINK("https://klasma.github.io/Logging_1452/tillsyn/S 3594-2022 tillsynsbegäran.docx", "S 3594-2022")</f>
        <v/>
      </c>
      <c r="AB7">
        <f>HYPERLINK("https://klasma.github.io/Logging_1452/tillsynsmail/S 3594-2022 tillsynsbegäran mail.docx", "S 3594-2022")</f>
        <v/>
      </c>
      <c r="AC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46216</v>
      </c>
      <c r="F8" t="inlineStr">
        <is>
          <t>VÄSTRA GÖTALANDS LÄN</t>
        </is>
      </c>
      <c r="G8" t="inlineStr">
        <is>
          <t>TRANEMO</t>
        </is>
      </c>
      <c r="I8" t="n">
        <v>6.1</v>
      </c>
      <c r="J8" t="n">
        <v>5</v>
      </c>
      <c r="K8" t="n">
        <v>0</v>
      </c>
      <c r="L8" t="n">
        <v>2</v>
      </c>
      <c r="M8" t="n">
        <v>0</v>
      </c>
      <c r="N8" t="n">
        <v>0</v>
      </c>
      <c r="O8" t="n">
        <v>0</v>
      </c>
      <c r="P8" t="n">
        <v>0</v>
      </c>
      <c r="Q8" t="n">
        <v>2</v>
      </c>
      <c r="R8" t="n">
        <v>0</v>
      </c>
      <c r="S8" t="n">
        <v>5</v>
      </c>
      <c r="T8" t="n">
        <v>5</v>
      </c>
      <c r="U8" s="2" t="inlineStr">
        <is>
          <t>Brunlångöra
Nordfladdermus
Dvärgpipistrell
Större brunfladdermus
Vattenfladdermus</t>
        </is>
      </c>
      <c r="V8">
        <f>HYPERLINK("https://klasma.github.io/Logging_1452/artfynd/S 4191-2022 artfynd.xlsx", "S 4191-2022")</f>
        <v/>
      </c>
      <c r="W8">
        <f>HYPERLINK("https://klasma.github.io/Logging_1452/kartor/S 4191-2022 karta.png", "S 4191-2022")</f>
        <v/>
      </c>
      <c r="Y8">
        <f>HYPERLINK("https://klasma.github.io/Logging_1452/klagomål/S 4191-2022 FSC-klagomål.docx", "S 4191-2022")</f>
        <v/>
      </c>
      <c r="Z8">
        <f>HYPERLINK("https://klasma.github.io/Logging_1452/klagomålsmail/S 4191-2022 FSC-klagomål mail.docx", "S 4191-2022")</f>
        <v/>
      </c>
      <c r="AA8">
        <f>HYPERLINK("https://klasma.github.io/Logging_1452/tillsyn/S 4191-2022 tillsynsbegäran.docx", "S 4191-2022")</f>
        <v/>
      </c>
      <c r="AB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46216</v>
      </c>
      <c r="F9" t="inlineStr">
        <is>
          <t>VÄSTRA GÖTALANDS LÄN</t>
        </is>
      </c>
      <c r="G9" t="inlineStr">
        <is>
          <t>TRANEMO</t>
        </is>
      </c>
      <c r="I9" t="n">
        <v>2.4</v>
      </c>
      <c r="J9" t="n">
        <v>5</v>
      </c>
      <c r="K9" t="n">
        <v>0</v>
      </c>
      <c r="L9" t="n">
        <v>2</v>
      </c>
      <c r="M9" t="n">
        <v>1</v>
      </c>
      <c r="N9" t="n">
        <v>0</v>
      </c>
      <c r="O9" t="n">
        <v>0</v>
      </c>
      <c r="P9" t="n">
        <v>0</v>
      </c>
      <c r="Q9" t="n">
        <v>3</v>
      </c>
      <c r="R9" t="n">
        <v>1</v>
      </c>
      <c r="S9" t="n">
        <v>5</v>
      </c>
      <c r="T9" t="n">
        <v>5</v>
      </c>
      <c r="U9" s="2" t="inlineStr">
        <is>
          <t>Tornseglare
Entita
Järnsparv
Spillkråka
Vanlig padda</t>
        </is>
      </c>
      <c r="V9">
        <f>HYPERLINK("https://klasma.github.io/Logging_1452/artfynd/S 3589-2022 artfynd.xlsx", "S 3589-2022")</f>
        <v/>
      </c>
      <c r="W9">
        <f>HYPERLINK("https://klasma.github.io/Logging_1452/kartor/S 3589-2022 karta.png", "S 3589-2022")</f>
        <v/>
      </c>
      <c r="Y9">
        <f>HYPERLINK("https://klasma.github.io/Logging_1452/klagomål/S 3589-2022 FSC-klagomål.docx", "S 3589-2022")</f>
        <v/>
      </c>
      <c r="Z9">
        <f>HYPERLINK("https://klasma.github.io/Logging_1452/klagomålsmail/S 3589-2022 FSC-klagomål mail.docx", "S 3589-2022")</f>
        <v/>
      </c>
      <c r="AA9">
        <f>HYPERLINK("https://klasma.github.io/Logging_1452/tillsyn/S 3589-2022 tillsynsbegäran.docx", "S 3589-2022")</f>
        <v/>
      </c>
      <c r="AB9">
        <f>HYPERLINK("https://klasma.github.io/Logging_1452/tillsynsmail/S 3589-2022 tillsynsbegäran mail.docx", "S 3589-2022")</f>
        <v/>
      </c>
      <c r="AC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46216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s="2" t="inlineStr">
        <is>
          <t>Entita
Gulsparv
Spillkråka
Orre
Ärtsångare</t>
        </is>
      </c>
      <c r="V10">
        <f>HYPERLINK("https://klasma.github.io/Logging_1452/artfynd/S 4157-2022 artfynd.xlsx", "S 4157-2022")</f>
        <v/>
      </c>
      <c r="W10">
        <f>HYPERLINK("https://klasma.github.io/Logging_1452/kartor/S 4157-2022 karta.png", "S 4157-2022")</f>
        <v/>
      </c>
      <c r="Y10">
        <f>HYPERLINK("https://klasma.github.io/Logging_1452/klagomål/S 4157-2022 FSC-klagomål.docx", "S 4157-2022")</f>
        <v/>
      </c>
      <c r="Z10">
        <f>HYPERLINK("https://klasma.github.io/Logging_1452/klagomålsmail/S 4157-2022 FSC-klagomål mail.docx", "S 4157-2022")</f>
        <v/>
      </c>
      <c r="AA10">
        <f>HYPERLINK("https://klasma.github.io/Logging_1452/tillsyn/S 4157-2022 tillsynsbegäran.docx", "S 4157-2022")</f>
        <v/>
      </c>
      <c r="AB10">
        <f>HYPERLINK("https://klasma.github.io/Logging_1452/tillsynsmail/S 4157-2022 tillsynsbegäran mail.docx", "S 4157-2022")</f>
        <v/>
      </c>
      <c r="AC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46216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s="2" t="inlineStr">
        <is>
          <t>Ask
Skogsalm
Slåttergubbe
Mattlummer
Revlummer</t>
        </is>
      </c>
      <c r="V11">
        <f>HYPERLINK("https://klasma.github.io/Logging_1452/artfynd/S 1848-2022 artfynd.xlsx", "S 1848-2022")</f>
        <v/>
      </c>
      <c r="W11">
        <f>HYPERLINK("https://klasma.github.io/Logging_1452/kartor/S 1848-2022 karta.png", "S 1848-2022")</f>
        <v/>
      </c>
      <c r="Y11">
        <f>HYPERLINK("https://klasma.github.io/Logging_1452/klagomål/S 1848-2022 FSC-klagomål.docx", "S 1848-2022")</f>
        <v/>
      </c>
      <c r="Z11">
        <f>HYPERLINK("https://klasma.github.io/Logging_1452/klagomålsmail/S 1848-2022 FSC-klagomål mail.docx", "S 1848-2022")</f>
        <v/>
      </c>
      <c r="AA11">
        <f>HYPERLINK("https://klasma.github.io/Logging_1452/tillsyn/S 1848-2022 tillsynsbegäran.docx", "S 1848-2022")</f>
        <v/>
      </c>
      <c r="AB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46216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Y12">
        <f>HYPERLINK("https://klasma.github.io/Logging_1452/klagomål/A 60910-2023 FSC-klagomål.docx", "A 60910-2023")</f>
        <v/>
      </c>
      <c r="Z12">
        <f>HYPERLINK("https://klasma.github.io/Logging_1452/klagomålsmail/A 60910-2023 FSC-klagomål mail.docx", "A 60910-2023")</f>
        <v/>
      </c>
      <c r="AA12">
        <f>HYPERLINK("https://klasma.github.io/Logging_1452/tillsyn/A 60910-2023 tillsynsbegäran.docx", "A 60910-2023")</f>
        <v/>
      </c>
      <c r="AB12">
        <f>HYPERLINK("https://klasma.github.io/Logging_1452/tillsynsmail/A 60910-2023 tillsynsbegäran mail.docx", "A 60910-2023")</f>
        <v/>
      </c>
      <c r="AC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46216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Y13">
        <f>HYPERLINK("https://klasma.github.io/Logging_1452/klagomål/A 12128-2024 FSC-klagomål.docx", "A 12128-2024")</f>
        <v/>
      </c>
      <c r="Z13">
        <f>HYPERLINK("https://klasma.github.io/Logging_1452/klagomålsmail/A 12128-2024 FSC-klagomål mail.docx", "A 12128-2024")</f>
        <v/>
      </c>
      <c r="AA13">
        <f>HYPERLINK("https://klasma.github.io/Logging_1452/tillsyn/A 12128-2024 tillsynsbegäran.docx", "A 12128-2024")</f>
        <v/>
      </c>
      <c r="AB13">
        <f>HYPERLINK("https://klasma.github.io/Logging_1452/tillsynsmail/A 12128-2024 tillsynsbegäran mail.docx", "A 12128-2024")</f>
        <v/>
      </c>
      <c r="AC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46216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Y14">
        <f>HYPERLINK("https://klasma.github.io/Logging_1452/klagomål/S 426-2023 FSC-klagomål.docx", "S 426-2023")</f>
        <v/>
      </c>
      <c r="Z14">
        <f>HYPERLINK("https://klasma.github.io/Logging_1452/klagomålsmail/S 426-2023 FSC-klagomål mail.docx", "S 426-2023")</f>
        <v/>
      </c>
      <c r="AA14">
        <f>HYPERLINK("https://klasma.github.io/Logging_1452/tillsyn/S 426-2023 tillsynsbegäran.docx", "S 426-2023")</f>
        <v/>
      </c>
      <c r="AB14">
        <f>HYPERLINK("https://klasma.github.io/Logging_1452/tillsynsmail/S 426-2023 tillsynsbegäran mail.docx", "S 426-2023")</f>
        <v/>
      </c>
      <c r="AC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46216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Y15">
        <f>HYPERLINK("https://klasma.github.io/Logging_1452/klagomål/S 1501-2024 FSC-klagomål.docx", "S 1501-2024")</f>
        <v/>
      </c>
      <c r="Z15">
        <f>HYPERLINK("https://klasma.github.io/Logging_1452/klagomålsmail/S 1501-2024 FSC-klagomål mail.docx", "S 1501-2024")</f>
        <v/>
      </c>
      <c r="AA15">
        <f>HYPERLINK("https://klasma.github.io/Logging_1452/tillsyn/S 1501-2024 tillsynsbegäran.docx", "S 1501-2024")</f>
        <v/>
      </c>
      <c r="AB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46216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s="2" t="inlineStr">
        <is>
          <t>Ask
Fällmossa</t>
        </is>
      </c>
      <c r="V16">
        <f>HYPERLINK("https://klasma.github.io/Logging_1452/artfynd/A 29576-2024 artfynd.xlsx", "A 29576-2024")</f>
        <v/>
      </c>
      <c r="W16">
        <f>HYPERLINK("https://klasma.github.io/Logging_1452/kartor/A 29576-2024 karta.png", "A 29576-2024")</f>
        <v/>
      </c>
      <c r="Y16">
        <f>HYPERLINK("https://klasma.github.io/Logging_1452/klagomål/A 29576-2024 FSC-klagomål.docx", "A 29576-2024")</f>
        <v/>
      </c>
      <c r="Z16">
        <f>HYPERLINK("https://klasma.github.io/Logging_1452/klagomålsmail/A 29576-2024 FSC-klagomål mail.docx", "A 29576-2024")</f>
        <v/>
      </c>
      <c r="AA16">
        <f>HYPERLINK("https://klasma.github.io/Logging_1452/tillsyn/A 29576-2024 tillsynsbegäran.docx", "A 29576-2024")</f>
        <v/>
      </c>
      <c r="AB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46216</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s="2" t="inlineStr">
        <is>
          <t>Talltita
Kornknutmossa</t>
        </is>
      </c>
      <c r="V17">
        <f>HYPERLINK("https://klasma.github.io/Logging_1452/artfynd/A 14728-2024 artfynd.xlsx", "A 14728-2024")</f>
        <v/>
      </c>
      <c r="W17">
        <f>HYPERLINK("https://klasma.github.io/Logging_1452/kartor/A 14728-2024 karta.png", "A 14728-2024")</f>
        <v/>
      </c>
      <c r="Y17">
        <f>HYPERLINK("https://klasma.github.io/Logging_1452/klagomål/A 14728-2024 FSC-klagomål.docx", "A 14728-2024")</f>
        <v/>
      </c>
      <c r="Z17">
        <f>HYPERLINK("https://klasma.github.io/Logging_1452/klagomålsmail/A 14728-2024 FSC-klagomål mail.docx", "A 14728-2024")</f>
        <v/>
      </c>
      <c r="AA17">
        <f>HYPERLINK("https://klasma.github.io/Logging_1452/tillsyn/A 14728-2024 tillsynsbegäran.docx", "A 14728-2024")</f>
        <v/>
      </c>
      <c r="AB17">
        <f>HYPERLINK("https://klasma.github.io/Logging_1452/tillsynsmail/A 14728-2024 tillsynsbegäran mail.docx", "A 14728-2024")</f>
        <v/>
      </c>
      <c r="AC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46216</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s="2" t="inlineStr">
        <is>
          <t>Kattfotslav
Bronshjon</t>
        </is>
      </c>
      <c r="V18">
        <f>HYPERLINK("https://klasma.github.io/Logging_1452/artfynd/A 9622-2026 artfynd.xlsx", "A 9622-2026")</f>
        <v/>
      </c>
      <c r="W18">
        <f>HYPERLINK("https://klasma.github.io/Logging_1452/kartor/A 9622-2026 karta.png", "A 9622-2026")</f>
        <v/>
      </c>
      <c r="Y18">
        <f>HYPERLINK("https://klasma.github.io/Logging_1452/klagomål/A 9622-2026 FSC-klagomål.docx", "A 9622-2026")</f>
        <v/>
      </c>
      <c r="Z18">
        <f>HYPERLINK("https://klasma.github.io/Logging_1452/klagomålsmail/A 9622-2026 FSC-klagomål mail.docx", "A 9622-2026")</f>
        <v/>
      </c>
      <c r="AA18">
        <f>HYPERLINK("https://klasma.github.io/Logging_1452/tillsyn/A 9622-2026 tillsynsbegäran.docx", "A 9622-2026")</f>
        <v/>
      </c>
      <c r="AB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46216</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s="2" t="inlineStr">
        <is>
          <t>Kattfotslav
Tjäder</t>
        </is>
      </c>
      <c r="V19">
        <f>HYPERLINK("https://klasma.github.io/Logging_1452/artfynd/A 31130-2022 artfynd.xlsx", "A 31130-2022")</f>
        <v/>
      </c>
      <c r="W19">
        <f>HYPERLINK("https://klasma.github.io/Logging_1452/kartor/A 31130-2022 karta.png", "A 31130-2022")</f>
        <v/>
      </c>
      <c r="Y19">
        <f>HYPERLINK("https://klasma.github.io/Logging_1452/klagomål/A 31130-2022 FSC-klagomål.docx", "A 31130-2022")</f>
        <v/>
      </c>
      <c r="Z19">
        <f>HYPERLINK("https://klasma.github.io/Logging_1452/klagomålsmail/A 31130-2022 FSC-klagomål mail.docx", "A 31130-2022")</f>
        <v/>
      </c>
      <c r="AA19">
        <f>HYPERLINK("https://klasma.github.io/Logging_1452/tillsyn/A 31130-2022 tillsynsbegäran.docx", "A 31130-2022")</f>
        <v/>
      </c>
      <c r="AB19">
        <f>HYPERLINK("https://klasma.github.io/Logging_1452/tillsynsmail/A 31130-2022 tillsynsbegäran mail.docx", "A 31130-2022")</f>
        <v/>
      </c>
      <c r="AC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46216</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s="2" t="inlineStr">
        <is>
          <t>Borsttåg
Svinrot</t>
        </is>
      </c>
      <c r="V20">
        <f>HYPERLINK("https://klasma.github.io/Logging_1452/artfynd/A 25467-2022 artfynd.xlsx", "A 25467-2022")</f>
        <v/>
      </c>
      <c r="W20">
        <f>HYPERLINK("https://klasma.github.io/Logging_1452/kartor/A 25467-2022 karta.png", "A 25467-2022")</f>
        <v/>
      </c>
      <c r="Y20">
        <f>HYPERLINK("https://klasma.github.io/Logging_1452/klagomål/A 25467-2022 FSC-klagomål.docx", "A 25467-2022")</f>
        <v/>
      </c>
      <c r="Z20">
        <f>HYPERLINK("https://klasma.github.io/Logging_1452/klagomålsmail/A 25467-2022 FSC-klagomål mail.docx", "A 25467-2022")</f>
        <v/>
      </c>
      <c r="AA20">
        <f>HYPERLINK("https://klasma.github.io/Logging_1452/tillsyn/A 25467-2022 tillsynsbegäran.docx", "A 25467-2022")</f>
        <v/>
      </c>
      <c r="AB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46216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s="2" t="inlineStr">
        <is>
          <t>Tjäder
Orre</t>
        </is>
      </c>
      <c r="V21">
        <f>HYPERLINK("https://klasma.github.io/Logging_1452/artfynd/A 55336-2024 artfynd.xlsx", "A 55336-2024")</f>
        <v/>
      </c>
      <c r="W21">
        <f>HYPERLINK("https://klasma.github.io/Logging_1452/kartor/A 55336-2024 karta.png", "A 55336-2024")</f>
        <v/>
      </c>
      <c r="Y21">
        <f>HYPERLINK("https://klasma.github.io/Logging_1452/klagomål/A 55336-2024 FSC-klagomål.docx", "A 55336-2024")</f>
        <v/>
      </c>
      <c r="Z21">
        <f>HYPERLINK("https://klasma.github.io/Logging_1452/klagomålsmail/A 55336-2024 FSC-klagomål mail.docx", "A 55336-2024")</f>
        <v/>
      </c>
      <c r="AA21">
        <f>HYPERLINK("https://klasma.github.io/Logging_1452/tillsyn/A 55336-2024 tillsynsbegäran.docx", "A 55336-2024")</f>
        <v/>
      </c>
      <c r="AB21">
        <f>HYPERLINK("https://klasma.github.io/Logging_1452/tillsynsmail/A 55336-2024 tillsynsbegäran mail.docx", "A 55336-2024")</f>
        <v/>
      </c>
      <c r="AC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46216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Y22">
        <f>HYPERLINK("https://klasma.github.io/Logging_1452/klagomål/S 1007-2024 FSC-klagomål.docx", "S 1007-2024")</f>
        <v/>
      </c>
      <c r="Z22">
        <f>HYPERLINK("https://klasma.github.io/Logging_1452/klagomålsmail/S 1007-2024 FSC-klagomål mail.docx", "S 1007-2024")</f>
        <v/>
      </c>
      <c r="AA22">
        <f>HYPERLINK("https://klasma.github.io/Logging_1452/tillsyn/S 1007-2024 tillsynsbegäran.docx", "S 1007-2024")</f>
        <v/>
      </c>
      <c r="AB22">
        <f>HYPERLINK("https://klasma.github.io/Logging_1452/tillsynsmail/S 1007-2024 tillsynsbegäran mail.docx", "S 1007-2024")</f>
        <v/>
      </c>
      <c r="AC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46216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Y23">
        <f>HYPERLINK("https://klasma.github.io/Logging_1452/klagomål/S 7462-2021 FSC-klagomål.docx", "S 7462-2021")</f>
        <v/>
      </c>
      <c r="Z23">
        <f>HYPERLINK("https://klasma.github.io/Logging_1452/klagomålsmail/S 7462-2021 FSC-klagomål mail.docx", "S 7462-2021")</f>
        <v/>
      </c>
      <c r="AA23">
        <f>HYPERLINK("https://klasma.github.io/Logging_1452/tillsyn/S 7462-2021 tillsynsbegäran.docx", "S 7462-2021")</f>
        <v/>
      </c>
      <c r="AB23">
        <f>HYPERLINK("https://klasma.github.io/Logging_1452/tillsynsmail/S 7462-2021 tillsynsbegäran mail.docx", "S 7462-2021")</f>
        <v/>
      </c>
      <c r="AC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46216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Y24">
        <f>HYPERLINK("https://klasma.github.io/Logging_1452/klagomål/A 24424-2022 FSC-klagomål.docx", "A 24424-2022")</f>
        <v/>
      </c>
      <c r="Z24">
        <f>HYPERLINK("https://klasma.github.io/Logging_1452/klagomålsmail/A 24424-2022 FSC-klagomål mail.docx", "A 24424-2022")</f>
        <v/>
      </c>
      <c r="AA24">
        <f>HYPERLINK("https://klasma.github.io/Logging_1452/tillsyn/A 24424-2022 tillsynsbegäran.docx", "A 24424-2022")</f>
        <v/>
      </c>
      <c r="AB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46216</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s="2" t="inlineStr">
        <is>
          <t>Kungsfågel</t>
        </is>
      </c>
      <c r="V25">
        <f>HYPERLINK("https://klasma.github.io/Logging_1452/artfynd/A 52169-2024 artfynd.xlsx", "A 52169-2024")</f>
        <v/>
      </c>
      <c r="W25">
        <f>HYPERLINK("https://klasma.github.io/Logging_1452/kartor/A 52169-2024 karta.png", "A 52169-2024")</f>
        <v/>
      </c>
      <c r="Y25">
        <f>HYPERLINK("https://klasma.github.io/Logging_1452/klagomål/A 52169-2024 FSC-klagomål.docx", "A 52169-2024")</f>
        <v/>
      </c>
      <c r="Z25">
        <f>HYPERLINK("https://klasma.github.io/Logging_1452/klagomålsmail/A 52169-2024 FSC-klagomål mail.docx", "A 52169-2024")</f>
        <v/>
      </c>
      <c r="AA25">
        <f>HYPERLINK("https://klasma.github.io/Logging_1452/tillsyn/A 52169-2024 tillsynsbegäran.docx", "A 52169-2024")</f>
        <v/>
      </c>
      <c r="AB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46216</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s="2" t="inlineStr">
        <is>
          <t>Brunpudrad nållav</t>
        </is>
      </c>
      <c r="V26">
        <f>HYPERLINK("https://klasma.github.io/Logging_1452/artfynd/A 8098-2022 artfynd.xlsx", "A 8098-2022")</f>
        <v/>
      </c>
      <c r="W26">
        <f>HYPERLINK("https://klasma.github.io/Logging_1452/kartor/A 8098-2022 karta.png", "A 8098-2022")</f>
        <v/>
      </c>
      <c r="Y26">
        <f>HYPERLINK("https://klasma.github.io/Logging_1452/klagomål/A 8098-2022 FSC-klagomål.docx", "A 8098-2022")</f>
        <v/>
      </c>
      <c r="Z26">
        <f>HYPERLINK("https://klasma.github.io/Logging_1452/klagomålsmail/A 8098-2022 FSC-klagomål mail.docx", "A 8098-2022")</f>
        <v/>
      </c>
      <c r="AA26">
        <f>HYPERLINK("https://klasma.github.io/Logging_1452/tillsyn/A 8098-2022 tillsynsbegäran.docx", "A 8098-2022")</f>
        <v/>
      </c>
      <c r="AB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46216</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s="2" t="inlineStr">
        <is>
          <t>Spillkråka</t>
        </is>
      </c>
      <c r="V27">
        <f>HYPERLINK("https://klasma.github.io/Logging_1452/artfynd/A 25249-2025 artfynd.xlsx", "A 25249-2025")</f>
        <v/>
      </c>
      <c r="W27">
        <f>HYPERLINK("https://klasma.github.io/Logging_1452/kartor/A 25249-2025 karta.png", "A 25249-2025")</f>
        <v/>
      </c>
      <c r="Y27">
        <f>HYPERLINK("https://klasma.github.io/Logging_1452/klagomål/A 25249-2025 FSC-klagomål.docx", "A 25249-2025")</f>
        <v/>
      </c>
      <c r="Z27">
        <f>HYPERLINK("https://klasma.github.io/Logging_1452/klagomålsmail/A 25249-2025 FSC-klagomål mail.docx", "A 25249-2025")</f>
        <v/>
      </c>
      <c r="AA27">
        <f>HYPERLINK("https://klasma.github.io/Logging_1452/tillsyn/A 25249-2025 tillsynsbegäran.docx", "A 25249-2025")</f>
        <v/>
      </c>
      <c r="AB27">
        <f>HYPERLINK("https://klasma.github.io/Logging_1452/tillsynsmail/A 25249-2025 tillsynsbegäran mail.docx", "A 25249-2025")</f>
        <v/>
      </c>
      <c r="AC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46216</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s="2" t="inlineStr">
        <is>
          <t>Tjäder</t>
        </is>
      </c>
      <c r="V28">
        <f>HYPERLINK("https://klasma.github.io/Logging_1452/artfynd/A 14008-2025 artfynd.xlsx", "A 14008-2025")</f>
        <v/>
      </c>
      <c r="W28">
        <f>HYPERLINK("https://klasma.github.io/Logging_1452/kartor/A 14008-2025 karta.png", "A 14008-2025")</f>
        <v/>
      </c>
      <c r="Y28">
        <f>HYPERLINK("https://klasma.github.io/Logging_1452/klagomål/A 14008-2025 FSC-klagomål.docx", "A 14008-2025")</f>
        <v/>
      </c>
      <c r="Z28">
        <f>HYPERLINK("https://klasma.github.io/Logging_1452/klagomålsmail/A 14008-2025 FSC-klagomål mail.docx", "A 14008-2025")</f>
        <v/>
      </c>
      <c r="AA28">
        <f>HYPERLINK("https://klasma.github.io/Logging_1452/tillsyn/A 14008-2025 tillsynsbegäran.docx", "A 14008-2025")</f>
        <v/>
      </c>
      <c r="AB28">
        <f>HYPERLINK("https://klasma.github.io/Logging_1452/tillsynsmail/A 14008-2025 tillsynsbegäran mail.docx", "A 14008-2025")</f>
        <v/>
      </c>
      <c r="AC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46216</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s="2" t="inlineStr">
        <is>
          <t>Gröngöling</t>
        </is>
      </c>
      <c r="V29">
        <f>HYPERLINK("https://klasma.github.io/Logging_1452/artfynd/A 30829-2025 artfynd.xlsx", "A 30829-2025")</f>
        <v/>
      </c>
      <c r="W29">
        <f>HYPERLINK("https://klasma.github.io/Logging_1452/kartor/A 30829-2025 karta.png", "A 30829-2025")</f>
        <v/>
      </c>
      <c r="Y29">
        <f>HYPERLINK("https://klasma.github.io/Logging_1452/klagomål/A 30829-2025 FSC-klagomål.docx", "A 30829-2025")</f>
        <v/>
      </c>
      <c r="Z29">
        <f>HYPERLINK("https://klasma.github.io/Logging_1452/klagomålsmail/A 30829-2025 FSC-klagomål mail.docx", "A 30829-2025")</f>
        <v/>
      </c>
      <c r="AA29">
        <f>HYPERLINK("https://klasma.github.io/Logging_1452/tillsyn/A 30829-2025 tillsynsbegäran.docx", "A 30829-2025")</f>
        <v/>
      </c>
      <c r="AB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46216</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s="2" t="inlineStr">
        <is>
          <t>Backsippa</t>
        </is>
      </c>
      <c r="V30">
        <f>HYPERLINK("https://klasma.github.io/Logging_1452/artfynd/A 42655-2025 artfynd.xlsx", "A 42655-2025")</f>
        <v/>
      </c>
      <c r="W30">
        <f>HYPERLINK("https://klasma.github.io/Logging_1452/kartor/A 42655-2025 karta.png", "A 42655-2025")</f>
        <v/>
      </c>
      <c r="Y30">
        <f>HYPERLINK("https://klasma.github.io/Logging_1452/klagomål/A 42655-2025 FSC-klagomål.docx", "A 42655-2025")</f>
        <v/>
      </c>
      <c r="Z30">
        <f>HYPERLINK("https://klasma.github.io/Logging_1452/klagomålsmail/A 42655-2025 FSC-klagomål mail.docx", "A 42655-2025")</f>
        <v/>
      </c>
      <c r="AA30">
        <f>HYPERLINK("https://klasma.github.io/Logging_1452/tillsyn/A 42655-2025 tillsynsbegäran.docx", "A 42655-2025")</f>
        <v/>
      </c>
      <c r="AB30">
        <f>HYPERLINK("https://klasma.github.io/Logging_1452/tillsynsmail/A 42655-2025 tillsynsbegäran mail.docx", "A 42655-2025")</f>
        <v/>
      </c>
    </row>
    <row r="31" ht="15" customHeight="1">
      <c r="A31" t="inlineStr">
        <is>
          <t>A 46538-2022</t>
        </is>
      </c>
      <c r="B31" t="inlineStr">
        <is>
          <t>avverkningsanmälan</t>
        </is>
      </c>
      <c r="C31" t="inlineStr">
        <is>
          <t>Föryngringsavverkning</t>
        </is>
      </c>
      <c r="D31" s="1" t="n">
        <v>44848</v>
      </c>
      <c r="E31" s="1" t="n">
        <v>46216</v>
      </c>
      <c r="F31" t="inlineStr">
        <is>
          <t>VÄSTRA GÖTALANDS LÄN</t>
        </is>
      </c>
      <c r="G31" t="inlineStr">
        <is>
          <t>TRANEMO</t>
        </is>
      </c>
      <c r="H31" t="inlineStr">
        <is>
          <t>Kyrkan</t>
        </is>
      </c>
      <c r="I31" t="n">
        <v>4</v>
      </c>
      <c r="J31" t="n">
        <v>1</v>
      </c>
      <c r="K31" t="n">
        <v>0</v>
      </c>
      <c r="L31" t="n">
        <v>0</v>
      </c>
      <c r="M31" t="n">
        <v>0</v>
      </c>
      <c r="N31" t="n">
        <v>0</v>
      </c>
      <c r="O31" t="n">
        <v>0</v>
      </c>
      <c r="P31" t="n">
        <v>0</v>
      </c>
      <c r="Q31" t="n">
        <v>0</v>
      </c>
      <c r="R31" t="n">
        <v>0</v>
      </c>
      <c r="S31" t="n">
        <v>1</v>
      </c>
      <c r="T31" t="n">
        <v>1</v>
      </c>
      <c r="U31" s="2" t="inlineStr">
        <is>
          <t>Hasselmus</t>
        </is>
      </c>
      <c r="V31">
        <f>HYPERLINK("https://klasma.github.io/Logging_1452/artfynd/A 46538-2022 artfynd.xlsx", "A 46538-2022")</f>
        <v/>
      </c>
      <c r="W31">
        <f>HYPERLINK("https://klasma.github.io/Logging_1452/kartor/A 46538-2022 karta.png", "A 46538-2022")</f>
        <v/>
      </c>
      <c r="Y31">
        <f>HYPERLINK("https://klasma.github.io/Logging_1452/klagomål/A 46538-2022 FSC-klagomål.docx", "A 46538-2022")</f>
        <v/>
      </c>
      <c r="Z31">
        <f>HYPERLINK("https://klasma.github.io/Logging_1452/klagomålsmail/A 46538-2022 FSC-klagomål mail.docx", "A 46538-2022")</f>
        <v/>
      </c>
      <c r="AA31">
        <f>HYPERLINK("https://klasma.github.io/Logging_1452/tillsyn/A 46538-2022 tillsynsbegäran.docx", "A 46538-2022")</f>
        <v/>
      </c>
      <c r="AB31">
        <f>HYPERLINK("https://klasma.github.io/Logging_1452/tillsynsmail/A 46538-2022 tillsynsbegäran mail.docx", "A 46538-2022")</f>
        <v/>
      </c>
    </row>
    <row r="32" ht="15" customHeight="1">
      <c r="A32" t="inlineStr">
        <is>
          <t>A 45539-2025</t>
        </is>
      </c>
      <c r="B32" t="inlineStr">
        <is>
          <t>avverkningsanmälan</t>
        </is>
      </c>
      <c r="C32" t="inlineStr">
        <is>
          <t>Föryngringsavverkning</t>
        </is>
      </c>
      <c r="D32" s="1" t="n">
        <v>45922</v>
      </c>
      <c r="E32" s="1" t="n">
        <v>46216</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s="2" t="inlineStr">
        <is>
          <t>Hasselmus</t>
        </is>
      </c>
      <c r="V32">
        <f>HYPERLINK("https://klasma.github.io/Logging_1452/artfynd/A 45539-2025 artfynd.xlsx", "A 45539-2025")</f>
        <v/>
      </c>
      <c r="W32">
        <f>HYPERLINK("https://klasma.github.io/Logging_1452/kartor/A 45539-2025 karta.png", "A 45539-2025")</f>
        <v/>
      </c>
      <c r="Y32">
        <f>HYPERLINK("https://klasma.github.io/Logging_1452/klagomål/A 45539-2025 FSC-klagomål.docx", "A 45539-2025")</f>
        <v/>
      </c>
      <c r="Z32">
        <f>HYPERLINK("https://klasma.github.io/Logging_1452/klagomålsmail/A 45539-2025 FSC-klagomål mail.docx", "A 45539-2025")</f>
        <v/>
      </c>
      <c r="AA32">
        <f>HYPERLINK("https://klasma.github.io/Logging_1452/tillsyn/A 45539-2025 tillsynsbegäran.docx", "A 45539-2025")</f>
        <v/>
      </c>
      <c r="AB32">
        <f>HYPERLINK("https://klasma.github.io/Logging_1452/tillsynsmail/A 45539-2025 tillsynsbegäran mail.docx", "A 45539-2025")</f>
        <v/>
      </c>
    </row>
    <row r="33" ht="15" customHeight="1">
      <c r="A33" t="inlineStr">
        <is>
          <t>A 45176-2024</t>
        </is>
      </c>
      <c r="B33" t="inlineStr">
        <is>
          <t>avverkningsanmälan</t>
        </is>
      </c>
      <c r="C33" t="inlineStr">
        <is>
          <t>Föryngringsavverkning</t>
        </is>
      </c>
      <c r="D33" s="1" t="n">
        <v>45575</v>
      </c>
      <c r="E33" s="1" t="n">
        <v>46216</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s="2" t="inlineStr">
        <is>
          <t>Grönsångare</t>
        </is>
      </c>
      <c r="V33">
        <f>HYPERLINK("https://klasma.github.io/Logging_1452/artfynd/A 45176-2024 artfynd.xlsx", "A 45176-2024")</f>
        <v/>
      </c>
      <c r="W33">
        <f>HYPERLINK("https://klasma.github.io/Logging_1452/kartor/A 45176-2024 karta.png", "A 45176-2024")</f>
        <v/>
      </c>
      <c r="Y33">
        <f>HYPERLINK("https://klasma.github.io/Logging_1452/klagomål/A 45176-2024 FSC-klagomål.docx", "A 45176-2024")</f>
        <v/>
      </c>
      <c r="Z33">
        <f>HYPERLINK("https://klasma.github.io/Logging_1452/klagomålsmail/A 45176-2024 FSC-klagomål mail.docx", "A 45176-2024")</f>
        <v/>
      </c>
      <c r="AA33">
        <f>HYPERLINK("https://klasma.github.io/Logging_1452/tillsyn/A 45176-2024 tillsynsbegäran.docx", "A 45176-2024")</f>
        <v/>
      </c>
      <c r="AB33">
        <f>HYPERLINK("https://klasma.github.io/Logging_1452/tillsynsmail/A 45176-2024 tillsynsbegäran mail.docx", "A 45176-2024")</f>
        <v/>
      </c>
      <c r="AC33">
        <f>HYPERLINK("https://klasma.github.io/Logging_1452/fåglar/A 45176-2024 prioriterade fågelarter.docx", "A 45176-2024")</f>
        <v/>
      </c>
    </row>
    <row r="34" ht="15" customHeight="1">
      <c r="A34" t="inlineStr">
        <is>
          <t>A 40050-2021</t>
        </is>
      </c>
      <c r="B34" t="inlineStr">
        <is>
          <t>avverkningsanmälan</t>
        </is>
      </c>
      <c r="C34" t="inlineStr">
        <is>
          <t>Föryngringsavverkning</t>
        </is>
      </c>
      <c r="D34" s="1" t="n">
        <v>44418</v>
      </c>
      <c r="E34" s="1" t="n">
        <v>46216</v>
      </c>
      <c r="F34" t="inlineStr">
        <is>
          <t>VÄSTRA GÖTALANDS LÄN</t>
        </is>
      </c>
      <c r="G34" t="inlineStr">
        <is>
          <t>TRANEMO</t>
        </is>
      </c>
      <c r="I34" t="n">
        <v>1.9</v>
      </c>
      <c r="J34" t="n">
        <v>1</v>
      </c>
      <c r="K34" t="n">
        <v>0</v>
      </c>
      <c r="L34" t="n">
        <v>0</v>
      </c>
      <c r="M34" t="n">
        <v>0</v>
      </c>
      <c r="N34" t="n">
        <v>0</v>
      </c>
      <c r="O34" t="n">
        <v>0</v>
      </c>
      <c r="P34" t="n">
        <v>0</v>
      </c>
      <c r="Q34" t="n">
        <v>0</v>
      </c>
      <c r="R34" t="n">
        <v>0</v>
      </c>
      <c r="S34" t="n">
        <v>1</v>
      </c>
      <c r="T34" t="n">
        <v>1</v>
      </c>
      <c r="U34" s="2" t="inlineStr">
        <is>
          <t>Spillkråka</t>
        </is>
      </c>
      <c r="V34">
        <f>HYPERLINK("https://klasma.github.io/Logging_1452/artfynd/A 40050-2021 artfynd.xlsx", "A 40050-2021")</f>
        <v/>
      </c>
      <c r="W34">
        <f>HYPERLINK("https://klasma.github.io/Logging_1452/kartor/A 40050-2021 karta.png", "A 40050-2021")</f>
        <v/>
      </c>
      <c r="Y34">
        <f>HYPERLINK("https://klasma.github.io/Logging_1452/klagomål/A 40050-2021 FSC-klagomål.docx", "A 40050-2021")</f>
        <v/>
      </c>
      <c r="Z34">
        <f>HYPERLINK("https://klasma.github.io/Logging_1452/klagomålsmail/A 40050-2021 FSC-klagomål mail.docx", "A 40050-2021")</f>
        <v/>
      </c>
      <c r="AA34">
        <f>HYPERLINK("https://klasma.github.io/Logging_1452/tillsyn/A 40050-2021 tillsynsbegäran.docx", "A 40050-2021")</f>
        <v/>
      </c>
      <c r="AB34">
        <f>HYPERLINK("https://klasma.github.io/Logging_1452/tillsynsmail/A 40050-2021 tillsynsbegäran mail.docx", "A 40050-2021")</f>
        <v/>
      </c>
      <c r="AC34">
        <f>HYPERLINK("https://klasma.github.io/Logging_1452/fåglar/A 40050-2021 prioriterade fågelarter.docx", "A 40050-2021")</f>
        <v/>
      </c>
    </row>
    <row r="35" ht="15" customHeight="1">
      <c r="A35" t="inlineStr">
        <is>
          <t>A 50515-2022</t>
        </is>
      </c>
      <c r="B35" t="inlineStr">
        <is>
          <t>avverkningsanmälan</t>
        </is>
      </c>
      <c r="C35" t="inlineStr">
        <is>
          <t>Föryngringsavverkning</t>
        </is>
      </c>
      <c r="D35" s="1" t="n">
        <v>44866</v>
      </c>
      <c r="E35" s="1" t="n">
        <v>46216</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s="2" t="inlineStr">
        <is>
          <t>Borsttåg</t>
        </is>
      </c>
      <c r="V35">
        <f>HYPERLINK("https://klasma.github.io/Logging_1452/artfynd/A 50515-2022 artfynd.xlsx", "A 50515-2022")</f>
        <v/>
      </c>
      <c r="W35">
        <f>HYPERLINK("https://klasma.github.io/Logging_1452/kartor/A 50515-2022 karta.png", "A 50515-2022")</f>
        <v/>
      </c>
      <c r="Y35">
        <f>HYPERLINK("https://klasma.github.io/Logging_1452/klagomål/A 50515-2022 FSC-klagomål.docx", "A 50515-2022")</f>
        <v/>
      </c>
      <c r="Z35">
        <f>HYPERLINK("https://klasma.github.io/Logging_1452/klagomålsmail/A 50515-2022 FSC-klagomål mail.docx", "A 50515-2022")</f>
        <v/>
      </c>
      <c r="AA35">
        <f>HYPERLINK("https://klasma.github.io/Logging_1452/tillsyn/A 50515-2022 tillsynsbegäran.docx", "A 50515-2022")</f>
        <v/>
      </c>
      <c r="AB35">
        <f>HYPERLINK("https://klasma.github.io/Logging_1452/tillsynsmail/A 50515-2022 tillsynsbegäran mail.docx", "A 50515-2022")</f>
        <v/>
      </c>
    </row>
    <row r="36" ht="15" customHeight="1">
      <c r="A36" t="inlineStr">
        <is>
          <t>A 18227-2026</t>
        </is>
      </c>
      <c r="B36" t="inlineStr">
        <is>
          <t>avverkningsanmälan</t>
        </is>
      </c>
      <c r="C36" t="inlineStr">
        <is>
          <t>Föryngringsavverkning</t>
        </is>
      </c>
      <c r="D36" s="1" t="n">
        <v>46126</v>
      </c>
      <c r="E36" s="1" t="n">
        <v>46216</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s="2" t="inlineStr">
        <is>
          <t>Kungsfågel</t>
        </is>
      </c>
      <c r="V36">
        <f>HYPERLINK("https://klasma.github.io/Logging_1452/artfynd/A 18227-2026 artfynd.xlsx", "A 18227-2026")</f>
        <v/>
      </c>
      <c r="W36">
        <f>HYPERLINK("https://klasma.github.io/Logging_1452/kartor/A 18227-2026 karta.png", "A 18227-2026")</f>
        <v/>
      </c>
      <c r="Y36">
        <f>HYPERLINK("https://klasma.github.io/Logging_1452/klagomål/A 18227-2026 FSC-klagomål.docx", "A 18227-2026")</f>
        <v/>
      </c>
      <c r="Z36">
        <f>HYPERLINK("https://klasma.github.io/Logging_1452/klagomålsmail/A 18227-2026 FSC-klagomål mail.docx", "A 18227-2026")</f>
        <v/>
      </c>
      <c r="AA36">
        <f>HYPERLINK("https://klasma.github.io/Logging_1452/tillsyn/A 18227-2026 tillsynsbegäran.docx", "A 18227-2026")</f>
        <v/>
      </c>
      <c r="AB36">
        <f>HYPERLINK("https://klasma.github.io/Logging_1452/tillsynsmail/A 18227-2026 tillsynsbegäran mail.docx", "A 18227-2026")</f>
        <v/>
      </c>
    </row>
    <row r="37" ht="15" customHeight="1">
      <c r="A37" t="inlineStr">
        <is>
          <t>A 13277-2022</t>
        </is>
      </c>
      <c r="B37" t="inlineStr">
        <is>
          <t>avverkningsanmälan</t>
        </is>
      </c>
      <c r="C37" t="inlineStr">
        <is>
          <t>Föryngringsavverkning</t>
        </is>
      </c>
      <c r="D37" s="1" t="n">
        <v>44644</v>
      </c>
      <c r="E37" s="1" t="n">
        <v>46216</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s="2" t="inlineStr">
        <is>
          <t>Kattfotslav</t>
        </is>
      </c>
      <c r="V37">
        <f>HYPERLINK("https://klasma.github.io/Logging_1452/artfynd/A 13277-2022 artfynd.xlsx", "A 13277-2022")</f>
        <v/>
      </c>
      <c r="W37">
        <f>HYPERLINK("https://klasma.github.io/Logging_1452/kartor/A 13277-2022 karta.png", "A 13277-2022")</f>
        <v/>
      </c>
      <c r="Y37">
        <f>HYPERLINK("https://klasma.github.io/Logging_1452/klagomål/A 13277-2022 FSC-klagomål.docx", "A 13277-2022")</f>
        <v/>
      </c>
      <c r="Z37">
        <f>HYPERLINK("https://klasma.github.io/Logging_1452/klagomålsmail/A 13277-2022 FSC-klagomål mail.docx", "A 13277-2022")</f>
        <v/>
      </c>
      <c r="AA37">
        <f>HYPERLINK("https://klasma.github.io/Logging_1452/tillsyn/A 13277-2022 tillsynsbegäran.docx", "A 13277-2022")</f>
        <v/>
      </c>
      <c r="AB37">
        <f>HYPERLINK("https://klasma.github.io/Logging_1452/tillsynsmail/A 13277-2022 tillsynsbegäran mail.docx", "A 13277-2022")</f>
        <v/>
      </c>
    </row>
    <row r="38" ht="15" customHeight="1">
      <c r="A38" t="inlineStr">
        <is>
          <t>A 13946-2024</t>
        </is>
      </c>
      <c r="B38" t="inlineStr">
        <is>
          <t>avverkningsanmälan</t>
        </is>
      </c>
      <c r="C38" t="inlineStr">
        <is>
          <t>Föryngringsavverkning</t>
        </is>
      </c>
      <c r="D38" s="1" t="n">
        <v>45392</v>
      </c>
      <c r="E38" s="1" t="n">
        <v>46216</v>
      </c>
      <c r="F38" t="inlineStr">
        <is>
          <t>VÄSTRA GÖTALANDS LÄN</t>
        </is>
      </c>
      <c r="G38" t="inlineStr">
        <is>
          <t>TRANEMO</t>
        </is>
      </c>
      <c r="I38" t="n">
        <v>3.1</v>
      </c>
      <c r="J38" t="n">
        <v>1</v>
      </c>
      <c r="K38" t="n">
        <v>0</v>
      </c>
      <c r="L38" t="n">
        <v>0</v>
      </c>
      <c r="M38" t="n">
        <v>0</v>
      </c>
      <c r="N38" t="n">
        <v>0</v>
      </c>
      <c r="O38" t="n">
        <v>0</v>
      </c>
      <c r="P38" t="n">
        <v>0</v>
      </c>
      <c r="Q38" t="n">
        <v>0</v>
      </c>
      <c r="R38" t="n">
        <v>0</v>
      </c>
      <c r="S38" t="n">
        <v>1</v>
      </c>
      <c r="T38" t="n">
        <v>1</v>
      </c>
      <c r="U38" s="2" t="inlineStr">
        <is>
          <t>Sävsparv</t>
        </is>
      </c>
      <c r="V38">
        <f>HYPERLINK("https://klasma.github.io/Logging_1452/artfynd/A 13946-2024 artfynd.xlsx", "A 13946-2024")</f>
        <v/>
      </c>
      <c r="W38">
        <f>HYPERLINK("https://klasma.github.io/Logging_1452/kartor/A 13946-2024 karta.png", "A 13946-2024")</f>
        <v/>
      </c>
      <c r="Y38">
        <f>HYPERLINK("https://klasma.github.io/Logging_1452/klagomål/A 13946-2024 FSC-klagomål.docx", "A 13946-2024")</f>
        <v/>
      </c>
      <c r="Z38">
        <f>HYPERLINK("https://klasma.github.io/Logging_1452/klagomålsmail/A 13946-2024 FSC-klagomål mail.docx", "A 13946-2024")</f>
        <v/>
      </c>
      <c r="AA38">
        <f>HYPERLINK("https://klasma.github.io/Logging_1452/tillsyn/A 13946-2024 tillsynsbegäran.docx", "A 13946-2024")</f>
        <v/>
      </c>
      <c r="AB38">
        <f>HYPERLINK("https://klasma.github.io/Logging_1452/tillsynsmail/A 13946-2024 tillsynsbegäran mail.docx", "A 13946-2024")</f>
        <v/>
      </c>
      <c r="AC38">
        <f>HYPERLINK("https://klasma.github.io/Logging_1452/fåglar/A 13946-2024 prioriterade fågelarter.docx", "A 13946-2024")</f>
        <v/>
      </c>
    </row>
    <row r="39" ht="15" customHeight="1">
      <c r="A39" t="inlineStr">
        <is>
          <t>A 3247-2023</t>
        </is>
      </c>
      <c r="B39" t="inlineStr">
        <is>
          <t>avverkningsanmälan</t>
        </is>
      </c>
      <c r="C39" t="inlineStr">
        <is>
          <t>Föryngringsavverkning</t>
        </is>
      </c>
      <c r="D39" s="1" t="n">
        <v>44947</v>
      </c>
      <c r="E39" s="1" t="n">
        <v>46216</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s="2" t="inlineStr">
        <is>
          <t>Äkta lopplummer</t>
        </is>
      </c>
      <c r="V39">
        <f>HYPERLINK("https://klasma.github.io/Logging_1452/artfynd/A 3247-2023 artfynd.xlsx", "A 3247-2023")</f>
        <v/>
      </c>
      <c r="W39">
        <f>HYPERLINK("https://klasma.github.io/Logging_1452/kartor/A 3247-2023 karta.png", "A 3247-2023")</f>
        <v/>
      </c>
      <c r="Y39">
        <f>HYPERLINK("https://klasma.github.io/Logging_1452/klagomål/A 3247-2023 FSC-klagomål.docx", "A 3247-2023")</f>
        <v/>
      </c>
      <c r="Z39">
        <f>HYPERLINK("https://klasma.github.io/Logging_1452/klagomålsmail/A 3247-2023 FSC-klagomål mail.docx", "A 3247-2023")</f>
        <v/>
      </c>
      <c r="AA39">
        <f>HYPERLINK("https://klasma.github.io/Logging_1452/tillsyn/A 3247-2023 tillsynsbegäran.docx", "A 3247-2023")</f>
        <v/>
      </c>
      <c r="AB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46216</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s="2" t="inlineStr">
        <is>
          <t>Brunpudrad nållav</t>
        </is>
      </c>
      <c r="V40">
        <f>HYPERLINK("https://klasma.github.io/Logging_1452/artfynd/A 27182-2023 artfynd.xlsx", "A 27182-2023")</f>
        <v/>
      </c>
      <c r="W40">
        <f>HYPERLINK("https://klasma.github.io/Logging_1452/kartor/A 27182-2023 karta.png", "A 27182-2023")</f>
        <v/>
      </c>
      <c r="Y40">
        <f>HYPERLINK("https://klasma.github.io/Logging_1452/klagomål/A 27182-2023 FSC-klagomål.docx", "A 27182-2023")</f>
        <v/>
      </c>
      <c r="Z40">
        <f>HYPERLINK("https://klasma.github.io/Logging_1452/klagomålsmail/A 27182-2023 FSC-klagomål mail.docx", "A 27182-2023")</f>
        <v/>
      </c>
      <c r="AA40">
        <f>HYPERLINK("https://klasma.github.io/Logging_1452/tillsyn/A 27182-2023 tillsynsbegäran.docx", "A 27182-2023")</f>
        <v/>
      </c>
      <c r="AB40">
        <f>HYPERLINK("https://klasma.github.io/Logging_1452/tillsynsmail/A 27182-2023 tillsynsbegäran mail.docx", "A 27182-2023")</f>
        <v/>
      </c>
    </row>
    <row r="41" ht="15" customHeight="1">
      <c r="A41" t="inlineStr">
        <is>
          <t>A 4682-2024</t>
        </is>
      </c>
      <c r="B41" t="inlineStr">
        <is>
          <t>avverkningsanmälan</t>
        </is>
      </c>
      <c r="C41" t="inlineStr">
        <is>
          <t>Föryngringsavverkning</t>
        </is>
      </c>
      <c r="D41" s="1" t="n">
        <v>45328</v>
      </c>
      <c r="E41" s="1" t="n">
        <v>46216</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s="2" t="inlineStr">
        <is>
          <t>Tjäder</t>
        </is>
      </c>
      <c r="V41">
        <f>HYPERLINK("https://klasma.github.io/Logging_1452/artfynd/A 4682-2024 artfynd.xlsx", "A 4682-2024")</f>
        <v/>
      </c>
      <c r="W41">
        <f>HYPERLINK("https://klasma.github.io/Logging_1452/kartor/A 4682-2024 karta.png", "A 4682-2024")</f>
        <v/>
      </c>
      <c r="Y41">
        <f>HYPERLINK("https://klasma.github.io/Logging_1452/klagomål/A 4682-2024 FSC-klagomål.docx", "A 4682-2024")</f>
        <v/>
      </c>
      <c r="Z41">
        <f>HYPERLINK("https://klasma.github.io/Logging_1452/klagomålsmail/A 4682-2024 FSC-klagomål mail.docx", "A 4682-2024")</f>
        <v/>
      </c>
      <c r="AA41">
        <f>HYPERLINK("https://klasma.github.io/Logging_1452/tillsyn/A 4682-2024 tillsynsbegäran.docx", "A 4682-2024")</f>
        <v/>
      </c>
      <c r="AB41">
        <f>HYPERLINK("https://klasma.github.io/Logging_1452/tillsynsmail/A 4682-2024 tillsynsbegäran mail.docx", "A 4682-2024")</f>
        <v/>
      </c>
      <c r="AC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46216</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s="2" t="inlineStr">
        <is>
          <t>Ängsmetallvinge</t>
        </is>
      </c>
      <c r="V42">
        <f>HYPERLINK("https://klasma.github.io/Logging_1452/artfynd/A 26819-2023 artfynd.xlsx", "A 26819-2023")</f>
        <v/>
      </c>
      <c r="W42">
        <f>HYPERLINK("https://klasma.github.io/Logging_1452/kartor/A 26819-2023 karta.png", "A 26819-2023")</f>
        <v/>
      </c>
      <c r="Y42">
        <f>HYPERLINK("https://klasma.github.io/Logging_1452/klagomål/A 26819-2023 FSC-klagomål.docx", "A 26819-2023")</f>
        <v/>
      </c>
      <c r="Z42">
        <f>HYPERLINK("https://klasma.github.io/Logging_1452/klagomålsmail/A 26819-2023 FSC-klagomål mail.docx", "A 26819-2023")</f>
        <v/>
      </c>
      <c r="AA42">
        <f>HYPERLINK("https://klasma.github.io/Logging_1452/tillsyn/A 26819-2023 tillsynsbegäran.docx", "A 26819-2023")</f>
        <v/>
      </c>
      <c r="AB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46216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s="2" t="inlineStr">
        <is>
          <t>Hasselmus</t>
        </is>
      </c>
      <c r="V43">
        <f>HYPERLINK("https://klasma.github.io/Logging_1452/artfynd/S 1518-2024 artfynd.xlsx", "S 1518-2024")</f>
        <v/>
      </c>
      <c r="W43">
        <f>HYPERLINK("https://klasma.github.io/Logging_1452/kartor/S 1518-2024 karta.png", "S 1518-2024")</f>
        <v/>
      </c>
      <c r="Y43">
        <f>HYPERLINK("https://klasma.github.io/Logging_1452/klagomål/S 1518-2024 FSC-klagomål.docx", "S 1518-2024")</f>
        <v/>
      </c>
      <c r="Z43">
        <f>HYPERLINK("https://klasma.github.io/Logging_1452/klagomålsmail/S 1518-2024 FSC-klagomål mail.docx", "S 1518-2024")</f>
        <v/>
      </c>
      <c r="AA43">
        <f>HYPERLINK("https://klasma.github.io/Logging_1452/tillsyn/S 1518-2024 tillsynsbegäran.docx", "S 1518-2024")</f>
        <v/>
      </c>
      <c r="AB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46216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s="2" t="inlineStr">
        <is>
          <t>Duvhök</t>
        </is>
      </c>
      <c r="V44">
        <f>HYPERLINK("https://klasma.github.io/Logging_1452/artfynd/S 2809-2022 artfynd.xlsx", "S 2809-2022")</f>
        <v/>
      </c>
      <c r="W44">
        <f>HYPERLINK("https://klasma.github.io/Logging_1452/kartor/S 2809-2022 karta.png", "S 2809-2022")</f>
        <v/>
      </c>
      <c r="Y44">
        <f>HYPERLINK("https://klasma.github.io/Logging_1452/klagomål/S 2809-2022 FSC-klagomål.docx", "S 2809-2022")</f>
        <v/>
      </c>
      <c r="Z44">
        <f>HYPERLINK("https://klasma.github.io/Logging_1452/klagomålsmail/S 2809-2022 FSC-klagomål mail.docx", "S 2809-2022")</f>
        <v/>
      </c>
      <c r="AA44">
        <f>HYPERLINK("https://klasma.github.io/Logging_1452/tillsyn/S 2809-2022 tillsynsbegäran.docx", "S 2809-2022")</f>
        <v/>
      </c>
      <c r="AB44">
        <f>HYPERLINK("https://klasma.github.io/Logging_1452/tillsynsmail/S 2809-2022 tillsynsbegäran mail.docx", "S 2809-2022")</f>
        <v/>
      </c>
      <c r="AC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46216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s="2" t="inlineStr">
        <is>
          <t>Spillkråka</t>
        </is>
      </c>
      <c r="V45">
        <f>HYPERLINK("https://klasma.github.io/Logging_1452/artfynd/S 2811-2022 artfynd.xlsx", "S 2811-2022")</f>
        <v/>
      </c>
      <c r="W45">
        <f>HYPERLINK("https://klasma.github.io/Logging_1452/kartor/S 2811-2022 karta.png", "S 2811-2022")</f>
        <v/>
      </c>
      <c r="Y45">
        <f>HYPERLINK("https://klasma.github.io/Logging_1452/klagomål/S 2811-2022 FSC-klagomål.docx", "S 2811-2022")</f>
        <v/>
      </c>
      <c r="Z45">
        <f>HYPERLINK("https://klasma.github.io/Logging_1452/klagomålsmail/S 2811-2022 FSC-klagomål mail.docx", "S 2811-2022")</f>
        <v/>
      </c>
      <c r="AA45">
        <f>HYPERLINK("https://klasma.github.io/Logging_1452/tillsyn/S 2811-2022 tillsynsbegäran.docx", "S 2811-2022")</f>
        <v/>
      </c>
      <c r="AB45">
        <f>HYPERLINK("https://klasma.github.io/Logging_1452/tillsynsmail/S 2811-2022 tillsynsbegäran mail.docx", "S 2811-2022")</f>
        <v/>
      </c>
      <c r="AC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46216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Y46">
        <f>HYPERLINK("https://klasma.github.io/Logging_1452/klagomål/S 5065-2024 FSC-klagomål.docx", "S 5065-2024")</f>
        <v/>
      </c>
      <c r="Z46">
        <f>HYPERLINK("https://klasma.github.io/Logging_1452/klagomålsmail/S 5065-2024 FSC-klagomål mail.docx", "S 5065-2024")</f>
        <v/>
      </c>
      <c r="AA46">
        <f>HYPERLINK("https://klasma.github.io/Logging_1452/tillsyn/S 5065-2024 tillsynsbegäran.docx", "S 5065-2024")</f>
        <v/>
      </c>
      <c r="AB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46216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Y47">
        <f>HYPERLINK("https://klasma.github.io/Logging_1452/klagomål/S 2624-2023 FSC-klagomål.docx", "S 2624-2023")</f>
        <v/>
      </c>
      <c r="Z47">
        <f>HYPERLINK("https://klasma.github.io/Logging_1452/klagomålsmail/S 2624-2023 FSC-klagomål mail.docx", "S 2624-2023")</f>
        <v/>
      </c>
      <c r="AA47">
        <f>HYPERLINK("https://klasma.github.io/Logging_1452/tillsyn/S 2624-2023 tillsynsbegäran.docx", "S 2624-2023")</f>
        <v/>
      </c>
      <c r="AB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46216</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46216</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46216</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1732-2022</t>
        </is>
      </c>
      <c r="B51" t="inlineStr">
        <is>
          <t>avverkningsanmälan</t>
        </is>
      </c>
      <c r="C51" t="inlineStr">
        <is>
          <t>Föryngringsavverkning</t>
        </is>
      </c>
      <c r="D51" s="1" t="n">
        <v>44574</v>
      </c>
      <c r="E51" s="1" t="n">
        <v>46216</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s="2" t="inlineStr"/>
    </row>
    <row r="52" ht="15" customHeight="1">
      <c r="A52" t="inlineStr">
        <is>
          <t>A 149-2022</t>
        </is>
      </c>
      <c r="B52" t="inlineStr">
        <is>
          <t>avverkningsanmälan</t>
        </is>
      </c>
      <c r="C52" t="inlineStr">
        <is>
          <t>Föryngringsavverkning</t>
        </is>
      </c>
      <c r="D52" s="1" t="n">
        <v>44564</v>
      </c>
      <c r="E52" s="1" t="n">
        <v>46216</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s="2" t="inlineStr"/>
    </row>
    <row r="53" ht="15" customHeight="1">
      <c r="A53" t="inlineStr">
        <is>
          <t>A 51255-2021</t>
        </is>
      </c>
      <c r="B53" t="inlineStr">
        <is>
          <t>avverkningsanmälan</t>
        </is>
      </c>
      <c r="C53" t="inlineStr">
        <is>
          <t>Föryngringsavverkning</t>
        </is>
      </c>
      <c r="D53" s="1" t="n">
        <v>44461</v>
      </c>
      <c r="E53" s="1" t="n">
        <v>46216</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s="2" t="inlineStr"/>
    </row>
    <row r="54" ht="15" customHeight="1">
      <c r="A54" t="inlineStr">
        <is>
          <t>A 3459-2022</t>
        </is>
      </c>
      <c r="B54" t="inlineStr">
        <is>
          <t>avverkningsanmälan</t>
        </is>
      </c>
      <c r="C54" t="inlineStr">
        <is>
          <t>Föryngringsavverkning</t>
        </is>
      </c>
      <c r="D54" s="1" t="n">
        <v>44585</v>
      </c>
      <c r="E54" s="1" t="n">
        <v>46216</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s="2" t="inlineStr"/>
    </row>
    <row r="55" ht="15" customHeight="1">
      <c r="A55" t="inlineStr">
        <is>
          <t>A 54326-2021</t>
        </is>
      </c>
      <c r="B55" t="inlineStr">
        <is>
          <t>avverkningsanmälan</t>
        </is>
      </c>
      <c r="C55" t="inlineStr">
        <is>
          <t>Föryngringsavverkning</t>
        </is>
      </c>
      <c r="D55" s="1" t="n">
        <v>44472</v>
      </c>
      <c r="E55" s="1" t="n">
        <v>46216</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s="2" t="inlineStr"/>
    </row>
    <row r="56" ht="15" customHeight="1">
      <c r="A56" t="inlineStr">
        <is>
          <t>A 12283-2022</t>
        </is>
      </c>
      <c r="B56" t="inlineStr">
        <is>
          <t>avverkningsanmälan</t>
        </is>
      </c>
      <c r="C56" t="inlineStr">
        <is>
          <t>Föryngringsavverkning</t>
        </is>
      </c>
      <c r="D56" s="1" t="n">
        <v>44637</v>
      </c>
      <c r="E56" s="1" t="n">
        <v>46216</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s="2" t="inlineStr"/>
    </row>
    <row r="57" ht="15" customHeight="1">
      <c r="A57" t="inlineStr">
        <is>
          <t>A 58161-2021</t>
        </is>
      </c>
      <c r="B57" t="inlineStr">
        <is>
          <t>avverkningsanmälan</t>
        </is>
      </c>
      <c r="C57" t="inlineStr">
        <is>
          <t>Föryngringsavverkning</t>
        </is>
      </c>
      <c r="D57" s="1" t="n">
        <v>44487</v>
      </c>
      <c r="E57" s="1" t="n">
        <v>46216</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46216</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46216</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6005-2022</t>
        </is>
      </c>
      <c r="B60" t="inlineStr">
        <is>
          <t>avverkningsanmälan</t>
        </is>
      </c>
      <c r="C60" t="inlineStr">
        <is>
          <t>Föryngringsavverkning</t>
        </is>
      </c>
      <c r="D60" s="1" t="n">
        <v>44599</v>
      </c>
      <c r="E60" s="1" t="n">
        <v>46216</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s="2" t="inlineStr"/>
    </row>
    <row r="61" ht="15" customHeight="1">
      <c r="A61" t="inlineStr">
        <is>
          <t>A 46687-2022</t>
        </is>
      </c>
      <c r="B61" t="inlineStr">
        <is>
          <t>avverkningsanmälan</t>
        </is>
      </c>
      <c r="C61" t="inlineStr">
        <is>
          <t>Föryngringsavverkning</t>
        </is>
      </c>
      <c r="D61" s="1" t="n">
        <v>44851</v>
      </c>
      <c r="E61" s="1" t="n">
        <v>46216</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s="2" t="inlineStr"/>
    </row>
    <row r="62" ht="15" customHeight="1">
      <c r="A62" t="inlineStr">
        <is>
          <t>A 25940-2022</t>
        </is>
      </c>
      <c r="B62" t="inlineStr">
        <is>
          <t>avverkningsanmälan</t>
        </is>
      </c>
      <c r="C62" t="inlineStr">
        <is>
          <t>Föryngringsavverkning</t>
        </is>
      </c>
      <c r="D62" s="1" t="n">
        <v>44734</v>
      </c>
      <c r="E62" s="1" t="n">
        <v>46216</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46216</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46216</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36501-2022</t>
        </is>
      </c>
      <c r="B65" t="inlineStr">
        <is>
          <t>avverkningsanmälan</t>
        </is>
      </c>
      <c r="C65" t="inlineStr">
        <is>
          <t>Föryngringsavverkning</t>
        </is>
      </c>
      <c r="D65" s="1" t="n">
        <v>44804</v>
      </c>
      <c r="E65" s="1" t="n">
        <v>46216</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s="2" t="inlineStr"/>
    </row>
    <row r="66" ht="15" customHeight="1">
      <c r="A66" t="inlineStr">
        <is>
          <t>A 40807-2021</t>
        </is>
      </c>
      <c r="B66" t="inlineStr">
        <is>
          <t>avverkningsanmälan</t>
        </is>
      </c>
      <c r="C66" t="inlineStr">
        <is>
          <t>Föryngringsavverkning</t>
        </is>
      </c>
      <c r="D66" s="1" t="n">
        <v>44421</v>
      </c>
      <c r="E66" s="1" t="n">
        <v>46216</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46216</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46216</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3253-2022</t>
        </is>
      </c>
      <c r="B69" t="inlineStr">
        <is>
          <t>avverkningsanmälan</t>
        </is>
      </c>
      <c r="C69" t="inlineStr">
        <is>
          <t>Föryngringsavverkning</t>
        </is>
      </c>
      <c r="D69" s="1" t="n">
        <v>44583</v>
      </c>
      <c r="E69" s="1" t="n">
        <v>46216</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s="2" t="inlineStr"/>
    </row>
    <row r="70" ht="15" customHeight="1">
      <c r="A70" t="inlineStr">
        <is>
          <t>A 9322-2022</t>
        </is>
      </c>
      <c r="B70" t="inlineStr">
        <is>
          <t>avverkningsanmälan</t>
        </is>
      </c>
      <c r="C70" t="inlineStr">
        <is>
          <t>Föryngringsavverkning</t>
        </is>
      </c>
      <c r="D70" s="1" t="n">
        <v>44616</v>
      </c>
      <c r="E70" s="1" t="n">
        <v>46216</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46216</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46216</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46216</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46216</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46216</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60283-2021</t>
        </is>
      </c>
      <c r="B76" t="inlineStr">
        <is>
          <t>avverkningsanmälan</t>
        </is>
      </c>
      <c r="C76" t="inlineStr">
        <is>
          <t>Föryngringsavverkning</t>
        </is>
      </c>
      <c r="D76" s="1" t="n">
        <v>44495</v>
      </c>
      <c r="E76" s="1" t="n">
        <v>46216</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s="2" t="inlineStr"/>
    </row>
    <row r="77" ht="15" customHeight="1">
      <c r="A77" t="inlineStr">
        <is>
          <t>A 70755-2021</t>
        </is>
      </c>
      <c r="B77" t="inlineStr">
        <is>
          <t>avverkningsanmälan</t>
        </is>
      </c>
      <c r="C77" t="inlineStr">
        <is>
          <t>Föryngringsavverkning</t>
        </is>
      </c>
      <c r="D77" s="1" t="n">
        <v>44537</v>
      </c>
      <c r="E77" s="1" t="n">
        <v>46216</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46216</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46216</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46216</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46216</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46216</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63785-2021</t>
        </is>
      </c>
      <c r="B83" t="inlineStr">
        <is>
          <t>avverkningsanmälan</t>
        </is>
      </c>
      <c r="C83" t="inlineStr">
        <is>
          <t>Föryngringsavverkning</t>
        </is>
      </c>
      <c r="D83" s="1" t="n">
        <v>44509</v>
      </c>
      <c r="E83" s="1" t="n">
        <v>46216</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s="2" t="inlineStr"/>
    </row>
    <row r="84" ht="15" customHeight="1">
      <c r="A84" t="inlineStr">
        <is>
          <t>A 17684-2022</t>
        </is>
      </c>
      <c r="B84" t="inlineStr">
        <is>
          <t>avverkningsanmälan</t>
        </is>
      </c>
      <c r="C84" t="inlineStr">
        <is>
          <t>Föryngringsavverkning</t>
        </is>
      </c>
      <c r="D84" s="1" t="n">
        <v>44680</v>
      </c>
      <c r="E84" s="1" t="n">
        <v>46216</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s="2" t="inlineStr"/>
    </row>
    <row r="85" ht="15" customHeight="1">
      <c r="A85" t="inlineStr">
        <is>
          <t>A 35600-2022</t>
        </is>
      </c>
      <c r="B85" t="inlineStr">
        <is>
          <t>avverkningsanmälan</t>
        </is>
      </c>
      <c r="C85" t="inlineStr">
        <is>
          <t>Föryngringsavverkning</t>
        </is>
      </c>
      <c r="D85" s="1" t="n">
        <v>44799</v>
      </c>
      <c r="E85" s="1" t="n">
        <v>46216</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s="2" t="inlineStr"/>
    </row>
    <row r="86" ht="15" customHeight="1">
      <c r="A86" t="inlineStr">
        <is>
          <t>A 11449-2022</t>
        </is>
      </c>
      <c r="B86" t="inlineStr">
        <is>
          <t>avverkningsanmälan</t>
        </is>
      </c>
      <c r="C86" t="inlineStr">
        <is>
          <t>Föryngringsavverkning</t>
        </is>
      </c>
      <c r="D86" s="1" t="n">
        <v>44630</v>
      </c>
      <c r="E86" s="1" t="n">
        <v>46216</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s="2" t="inlineStr"/>
    </row>
    <row r="87" ht="15" customHeight="1">
      <c r="A87" t="inlineStr">
        <is>
          <t>A 34544-2022</t>
        </is>
      </c>
      <c r="B87" t="inlineStr">
        <is>
          <t>avverkningsanmälan</t>
        </is>
      </c>
      <c r="C87" t="inlineStr">
        <is>
          <t>Föryngringsavverkning</t>
        </is>
      </c>
      <c r="D87" s="1" t="n">
        <v>44793</v>
      </c>
      <c r="E87" s="1" t="n">
        <v>46216</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s="2" t="inlineStr"/>
    </row>
    <row r="88" ht="15" customHeight="1">
      <c r="A88" t="inlineStr">
        <is>
          <t>A 35770-2022</t>
        </is>
      </c>
      <c r="B88" t="inlineStr">
        <is>
          <t>avverkningsanmälan</t>
        </is>
      </c>
      <c r="C88" t="inlineStr">
        <is>
          <t>Föryngringsavverkning</t>
        </is>
      </c>
      <c r="D88" s="1" t="n">
        <v>44800</v>
      </c>
      <c r="E88" s="1" t="n">
        <v>46216</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s="2" t="inlineStr"/>
    </row>
    <row r="89" ht="15" customHeight="1">
      <c r="A89" t="inlineStr">
        <is>
          <t>A 25508-2022</t>
        </is>
      </c>
      <c r="B89" t="inlineStr">
        <is>
          <t>avverkningsanmälan</t>
        </is>
      </c>
      <c r="C89" t="inlineStr">
        <is>
          <t>Föryngringsavverkning</t>
        </is>
      </c>
      <c r="D89" s="1" t="n">
        <v>44732</v>
      </c>
      <c r="E89" s="1" t="n">
        <v>46216</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s="2" t="inlineStr"/>
    </row>
    <row r="90" ht="15" customHeight="1">
      <c r="A90" t="inlineStr">
        <is>
          <t>A 47869-2021</t>
        </is>
      </c>
      <c r="B90" t="inlineStr">
        <is>
          <t>avverkningsanmälan</t>
        </is>
      </c>
      <c r="C90" t="inlineStr">
        <is>
          <t>Föryngringsavverkning</t>
        </is>
      </c>
      <c r="D90" s="1" t="n">
        <v>44448</v>
      </c>
      <c r="E90" s="1" t="n">
        <v>46216</v>
      </c>
      <c r="F90" t="inlineStr">
        <is>
          <t>VÄSTRA GÖTALANDS LÄN</t>
        </is>
      </c>
      <c r="G90" t="inlineStr">
        <is>
          <t>TRANEMO</t>
        </is>
      </c>
      <c r="I90" t="n">
        <v>0.7</v>
      </c>
      <c r="J90" t="n">
        <v>0</v>
      </c>
      <c r="K90" t="n">
        <v>0</v>
      </c>
      <c r="L90" t="n">
        <v>0</v>
      </c>
      <c r="M90" t="n">
        <v>0</v>
      </c>
      <c r="N90" t="n">
        <v>0</v>
      </c>
      <c r="O90" t="n">
        <v>0</v>
      </c>
      <c r="P90" t="n">
        <v>0</v>
      </c>
      <c r="Q90" t="n">
        <v>0</v>
      </c>
      <c r="R90" t="n">
        <v>0</v>
      </c>
      <c r="S90" t="n">
        <v>0</v>
      </c>
      <c r="T90" t="n">
        <v>0</v>
      </c>
      <c r="U90" s="2" t="inlineStr"/>
    </row>
    <row r="91" ht="15" customHeight="1">
      <c r="A91" t="inlineStr">
        <is>
          <t>A 51966-2022</t>
        </is>
      </c>
      <c r="B91" t="inlineStr">
        <is>
          <t>avverkningsanmälan</t>
        </is>
      </c>
      <c r="C91" t="inlineStr">
        <is>
          <t>Föryngringsavverkning</t>
        </is>
      </c>
      <c r="D91" s="1" t="n">
        <v>44872</v>
      </c>
      <c r="E91" s="1" t="n">
        <v>46216</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s="2" t="inlineStr"/>
    </row>
    <row r="92" ht="15" customHeight="1">
      <c r="A92" t="inlineStr">
        <is>
          <t>A 54509-2022</t>
        </is>
      </c>
      <c r="B92" t="inlineStr">
        <is>
          <t>avverkningsanmälan</t>
        </is>
      </c>
      <c r="C92" t="inlineStr">
        <is>
          <t>Föryngringsavverkning</t>
        </is>
      </c>
      <c r="D92" s="1" t="n">
        <v>44882</v>
      </c>
      <c r="E92" s="1" t="n">
        <v>46216</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s="2" t="inlineStr"/>
    </row>
    <row r="93" ht="15" customHeight="1">
      <c r="A93" t="inlineStr">
        <is>
          <t>A 69036-2021</t>
        </is>
      </c>
      <c r="B93" t="inlineStr">
        <is>
          <t>avverkningsanmälan</t>
        </is>
      </c>
      <c r="C93" t="inlineStr">
        <is>
          <t>Föryngringsavverkning</t>
        </is>
      </c>
      <c r="D93" s="1" t="n">
        <v>44530</v>
      </c>
      <c r="E93" s="1" t="n">
        <v>46216</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s="2" t="inlineStr"/>
    </row>
    <row r="94" ht="15" customHeight="1">
      <c r="A94" t="inlineStr">
        <is>
          <t>A 43613-2022</t>
        </is>
      </c>
      <c r="B94" t="inlineStr">
        <is>
          <t>avverkningsanmälan</t>
        </is>
      </c>
      <c r="C94" t="inlineStr">
        <is>
          <t>Föryngringsavverkning</t>
        </is>
      </c>
      <c r="D94" s="1" t="n">
        <v>44837</v>
      </c>
      <c r="E94" s="1" t="n">
        <v>46216</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s="2" t="inlineStr"/>
    </row>
    <row r="95" ht="15" customHeight="1">
      <c r="A95" t="inlineStr">
        <is>
          <t>A 47984-2021</t>
        </is>
      </c>
      <c r="B95" t="inlineStr">
        <is>
          <t>avverkningsanmälan</t>
        </is>
      </c>
      <c r="C95" t="inlineStr">
        <is>
          <t>Föryngringsavverkning</t>
        </is>
      </c>
      <c r="D95" s="1" t="n">
        <v>44449</v>
      </c>
      <c r="E95" s="1" t="n">
        <v>46216</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s="2" t="inlineStr"/>
    </row>
    <row r="96" ht="15" customHeight="1">
      <c r="A96" t="inlineStr">
        <is>
          <t>A 37240-2021</t>
        </is>
      </c>
      <c r="B96" t="inlineStr">
        <is>
          <t>avverkningsanmälan</t>
        </is>
      </c>
      <c r="C96" t="inlineStr">
        <is>
          <t>Föryngringsavverkning</t>
        </is>
      </c>
      <c r="D96" s="1" t="n">
        <v>44396</v>
      </c>
      <c r="E96" s="1" t="n">
        <v>46216</v>
      </c>
      <c r="F96" t="inlineStr">
        <is>
          <t>VÄSTRA GÖTALANDS LÄN</t>
        </is>
      </c>
      <c r="G96" t="inlineStr">
        <is>
          <t>TRANEMO</t>
        </is>
      </c>
      <c r="I96" t="n">
        <v>2.8</v>
      </c>
      <c r="J96" t="n">
        <v>0</v>
      </c>
      <c r="K96" t="n">
        <v>0</v>
      </c>
      <c r="L96" t="n">
        <v>0</v>
      </c>
      <c r="M96" t="n">
        <v>0</v>
      </c>
      <c r="N96" t="n">
        <v>0</v>
      </c>
      <c r="O96" t="n">
        <v>0</v>
      </c>
      <c r="P96" t="n">
        <v>0</v>
      </c>
      <c r="Q96" t="n">
        <v>0</v>
      </c>
      <c r="R96" t="n">
        <v>0</v>
      </c>
      <c r="S96" t="n">
        <v>0</v>
      </c>
      <c r="T96" t="n">
        <v>0</v>
      </c>
      <c r="U96" s="2" t="inlineStr"/>
    </row>
    <row r="97" ht="15" customHeight="1">
      <c r="A97" t="inlineStr">
        <is>
          <t>A 53781-2021</t>
        </is>
      </c>
      <c r="B97" t="inlineStr">
        <is>
          <t>avverkningsanmälan</t>
        </is>
      </c>
      <c r="C97" t="inlineStr">
        <is>
          <t>Föryngringsavverkning</t>
        </is>
      </c>
      <c r="D97" s="1" t="n">
        <v>44469</v>
      </c>
      <c r="E97" s="1" t="n">
        <v>46216</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s="2" t="inlineStr"/>
    </row>
    <row r="98" ht="15" customHeight="1">
      <c r="A98" t="inlineStr">
        <is>
          <t>A 56666-2021</t>
        </is>
      </c>
      <c r="B98" t="inlineStr">
        <is>
          <t>avverkningsanmälan</t>
        </is>
      </c>
      <c r="C98" t="inlineStr">
        <is>
          <t>Föryngringsavverkning</t>
        </is>
      </c>
      <c r="D98" s="1" t="n">
        <v>44481</v>
      </c>
      <c r="E98" s="1" t="n">
        <v>46216</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s="2" t="inlineStr"/>
    </row>
    <row r="99" ht="15" customHeight="1">
      <c r="A99" t="inlineStr">
        <is>
          <t>A 33329-2022</t>
        </is>
      </c>
      <c r="B99" t="inlineStr">
        <is>
          <t>avverkningsanmälan</t>
        </is>
      </c>
      <c r="C99" t="inlineStr">
        <is>
          <t>Föryngringsavverkning</t>
        </is>
      </c>
      <c r="D99" s="1" t="n">
        <v>44788</v>
      </c>
      <c r="E99" s="1" t="n">
        <v>46216</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s="2" t="inlineStr"/>
    </row>
    <row r="100" ht="15" customHeight="1">
      <c r="A100" t="inlineStr">
        <is>
          <t>A 66807-2021</t>
        </is>
      </c>
      <c r="B100" t="inlineStr">
        <is>
          <t>avverkningsanmälan</t>
        </is>
      </c>
      <c r="C100" t="inlineStr">
        <is>
          <t>Föryngringsavverkning</t>
        </is>
      </c>
      <c r="D100" s="1" t="n">
        <v>44522</v>
      </c>
      <c r="E100" s="1" t="n">
        <v>46216</v>
      </c>
      <c r="F100" t="inlineStr">
        <is>
          <t>VÄSTRA GÖTALANDS LÄN</t>
        </is>
      </c>
      <c r="G100" t="inlineStr">
        <is>
          <t>TRANEMO</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61391-2021</t>
        </is>
      </c>
      <c r="B101" t="inlineStr">
        <is>
          <t>avverkningsanmälan</t>
        </is>
      </c>
      <c r="C101" t="inlineStr">
        <is>
          <t>Föryngringsavverkning</t>
        </is>
      </c>
      <c r="D101" s="1" t="n">
        <v>44500</v>
      </c>
      <c r="E101" s="1" t="n">
        <v>46216</v>
      </c>
      <c r="F101" t="inlineStr">
        <is>
          <t>VÄSTRA GÖTALANDS LÄN</t>
        </is>
      </c>
      <c r="G101" t="inlineStr">
        <is>
          <t>TRANEMO</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26357-2022</t>
        </is>
      </c>
      <c r="B102" t="inlineStr">
        <is>
          <t>avverkningsanmälan</t>
        </is>
      </c>
      <c r="C102" t="inlineStr">
        <is>
          <t>Föryngringsavverkning</t>
        </is>
      </c>
      <c r="D102" s="1" t="n">
        <v>44735</v>
      </c>
      <c r="E102" s="1" t="n">
        <v>46216</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21380-2022</t>
        </is>
      </c>
      <c r="B103" t="inlineStr">
        <is>
          <t>avverkningsanmälan</t>
        </is>
      </c>
      <c r="C103" t="inlineStr">
        <is>
          <t>Avverkning för annat ändamål</t>
        </is>
      </c>
      <c r="D103" s="1" t="n">
        <v>44705</v>
      </c>
      <c r="E103" s="1" t="n">
        <v>46216</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6010-2022</t>
        </is>
      </c>
      <c r="B104" t="inlineStr">
        <is>
          <t>avverkningsanmälan</t>
        </is>
      </c>
      <c r="C104" t="inlineStr">
        <is>
          <t>Föryngringsavverkning</t>
        </is>
      </c>
      <c r="D104" s="1" t="n">
        <v>44599</v>
      </c>
      <c r="E104" s="1" t="n">
        <v>46216</v>
      </c>
      <c r="F104" t="inlineStr">
        <is>
          <t>VÄSTRA GÖTALANDS LÄN</t>
        </is>
      </c>
      <c r="G104" t="inlineStr">
        <is>
          <t>TRANEMO</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73814-2021</t>
        </is>
      </c>
      <c r="B105" t="inlineStr">
        <is>
          <t>avverkningsanmälan</t>
        </is>
      </c>
      <c r="C105" t="inlineStr">
        <is>
          <t>Föryngringsavverkning</t>
        </is>
      </c>
      <c r="D105" s="1" t="n">
        <v>44552</v>
      </c>
      <c r="E105" s="1" t="n">
        <v>46216</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s="2" t="inlineStr"/>
    </row>
    <row r="106" ht="15" customHeight="1">
      <c r="A106" t="inlineStr">
        <is>
          <t>A 43550-2021</t>
        </is>
      </c>
      <c r="B106" t="inlineStr">
        <is>
          <t>avverkningsanmälan</t>
        </is>
      </c>
      <c r="C106" t="inlineStr">
        <is>
          <t>Föryngringsavverkning</t>
        </is>
      </c>
      <c r="D106" s="1" t="n">
        <v>44433</v>
      </c>
      <c r="E106" s="1" t="n">
        <v>46216</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5040-2023</t>
        </is>
      </c>
      <c r="B107" t="inlineStr">
        <is>
          <t>avverkningsanmälan</t>
        </is>
      </c>
      <c r="C107" t="inlineStr">
        <is>
          <t>Föryngringsavverkning</t>
        </is>
      </c>
      <c r="D107" s="1" t="n">
        <v>44958</v>
      </c>
      <c r="E107" s="1" t="n">
        <v>46216</v>
      </c>
      <c r="F107" t="inlineStr">
        <is>
          <t>VÄSTRA GÖTALANDS LÄN</t>
        </is>
      </c>
      <c r="G107" t="inlineStr">
        <is>
          <t>TRANEMO</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3023-2024</t>
        </is>
      </c>
      <c r="B108" t="inlineStr">
        <is>
          <t>avverkningsanmälan</t>
        </is>
      </c>
      <c r="C108" t="inlineStr">
        <is>
          <t>Föryngringsavverkning</t>
        </is>
      </c>
      <c r="D108" s="1" t="n">
        <v>45316</v>
      </c>
      <c r="E108" s="1" t="n">
        <v>46216</v>
      </c>
      <c r="F108" t="inlineStr">
        <is>
          <t>VÄSTRA GÖTALANDS LÄN</t>
        </is>
      </c>
      <c r="G108" t="inlineStr">
        <is>
          <t>TRANEMO</t>
        </is>
      </c>
      <c r="I108" t="n">
        <v>4.8</v>
      </c>
      <c r="J108" t="n">
        <v>0</v>
      </c>
      <c r="K108" t="n">
        <v>0</v>
      </c>
      <c r="L108" t="n">
        <v>0</v>
      </c>
      <c r="M108" t="n">
        <v>0</v>
      </c>
      <c r="N108" t="n">
        <v>0</v>
      </c>
      <c r="O108" t="n">
        <v>0</v>
      </c>
      <c r="P108" t="n">
        <v>0</v>
      </c>
      <c r="Q108" t="n">
        <v>0</v>
      </c>
      <c r="R108" t="n">
        <v>0</v>
      </c>
      <c r="S108" t="n">
        <v>0</v>
      </c>
      <c r="T108" t="n">
        <v>0</v>
      </c>
      <c r="U108" s="2" t="inlineStr"/>
    </row>
    <row r="109" ht="15" customHeight="1">
      <c r="A109" t="inlineStr">
        <is>
          <t>A 46020-2023</t>
        </is>
      </c>
      <c r="B109" t="inlineStr">
        <is>
          <t>avverkningsanmälan</t>
        </is>
      </c>
      <c r="C109" t="inlineStr">
        <is>
          <t>Föryngringsavverkning</t>
        </is>
      </c>
      <c r="D109" s="1" t="n">
        <v>45196</v>
      </c>
      <c r="E109" s="1" t="n">
        <v>46216</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5004-2022</t>
        </is>
      </c>
      <c r="B110" t="inlineStr">
        <is>
          <t>avverkningsanmälan</t>
        </is>
      </c>
      <c r="C110" t="inlineStr">
        <is>
          <t>Föryngringsavverkning</t>
        </is>
      </c>
      <c r="D110" s="1" t="n">
        <v>44593</v>
      </c>
      <c r="E110" s="1" t="n">
        <v>46216</v>
      </c>
      <c r="F110" t="inlineStr">
        <is>
          <t>VÄSTRA GÖTALANDS LÄN</t>
        </is>
      </c>
      <c r="G110" t="inlineStr">
        <is>
          <t>TRANEMO</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5871-2022</t>
        </is>
      </c>
      <c r="B111" t="inlineStr">
        <is>
          <t>avverkningsanmälan</t>
        </is>
      </c>
      <c r="C111" t="inlineStr">
        <is>
          <t>Föryngringsavverkning</t>
        </is>
      </c>
      <c r="D111" s="1" t="n">
        <v>44596</v>
      </c>
      <c r="E111" s="1" t="n">
        <v>46216</v>
      </c>
      <c r="F111" t="inlineStr">
        <is>
          <t>VÄSTRA GÖTALANDS LÄN</t>
        </is>
      </c>
      <c r="G111" t="inlineStr">
        <is>
          <t>TRANEMO</t>
        </is>
      </c>
      <c r="H111" t="inlineStr">
        <is>
          <t>Sveaskog</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9779-2024</t>
        </is>
      </c>
      <c r="B112" t="inlineStr">
        <is>
          <t>avverkningsanmälan</t>
        </is>
      </c>
      <c r="C112" t="inlineStr">
        <is>
          <t>Föryngringsavverkning</t>
        </is>
      </c>
      <c r="D112" s="1" t="n">
        <v>45362</v>
      </c>
      <c r="E112" s="1" t="n">
        <v>46216</v>
      </c>
      <c r="F112" t="inlineStr">
        <is>
          <t>VÄSTRA GÖTALANDS LÄN</t>
        </is>
      </c>
      <c r="G112" t="inlineStr">
        <is>
          <t>TRANEMO</t>
        </is>
      </c>
      <c r="I112" t="n">
        <v>3.3</v>
      </c>
      <c r="J112" t="n">
        <v>0</v>
      </c>
      <c r="K112" t="n">
        <v>0</v>
      </c>
      <c r="L112" t="n">
        <v>0</v>
      </c>
      <c r="M112" t="n">
        <v>0</v>
      </c>
      <c r="N112" t="n">
        <v>0</v>
      </c>
      <c r="O112" t="n">
        <v>0</v>
      </c>
      <c r="P112" t="n">
        <v>0</v>
      </c>
      <c r="Q112" t="n">
        <v>0</v>
      </c>
      <c r="R112" t="n">
        <v>0</v>
      </c>
      <c r="S112" t="n">
        <v>0</v>
      </c>
      <c r="T112" t="n">
        <v>0</v>
      </c>
      <c r="U112" s="2" t="inlineStr"/>
    </row>
    <row r="113" ht="15" customHeight="1">
      <c r="A113" t="inlineStr">
        <is>
          <t>A 12256-2023</t>
        </is>
      </c>
      <c r="B113" t="inlineStr">
        <is>
          <t>avverkningsanmälan</t>
        </is>
      </c>
      <c r="C113" t="inlineStr">
        <is>
          <t>Föryngringsavverkning</t>
        </is>
      </c>
      <c r="D113" s="1" t="n">
        <v>44998</v>
      </c>
      <c r="E113" s="1" t="n">
        <v>46216</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2877-2024</t>
        </is>
      </c>
      <c r="B114" t="inlineStr">
        <is>
          <t>avverkningsanmälan</t>
        </is>
      </c>
      <c r="C114" t="inlineStr">
        <is>
          <t>Föryngringsavverkning</t>
        </is>
      </c>
      <c r="D114" s="1" t="n">
        <v>45315</v>
      </c>
      <c r="E114" s="1" t="n">
        <v>46216</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14760-2022</t>
        </is>
      </c>
      <c r="B115" t="inlineStr">
        <is>
          <t>avverkningsanmälan</t>
        </is>
      </c>
      <c r="C115" t="inlineStr">
        <is>
          <t>Föryngringsavverkning</t>
        </is>
      </c>
      <c r="D115" s="1" t="n">
        <v>44656</v>
      </c>
      <c r="E115" s="1" t="n">
        <v>46216</v>
      </c>
      <c r="F115" t="inlineStr">
        <is>
          <t>VÄSTRA GÖTALANDS LÄN</t>
        </is>
      </c>
      <c r="G115" t="inlineStr">
        <is>
          <t>TRANEMO</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59908-2024</t>
        </is>
      </c>
      <c r="B116" t="inlineStr">
        <is>
          <t>avverkningsanmälan</t>
        </is>
      </c>
      <c r="C116" t="inlineStr">
        <is>
          <t>Föryngringsavverkning</t>
        </is>
      </c>
      <c r="D116" s="1" t="n">
        <v>45641</v>
      </c>
      <c r="E116" s="1" t="n">
        <v>46216</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15326-2025</t>
        </is>
      </c>
      <c r="B117" t="inlineStr">
        <is>
          <t>avverkningsanmälan</t>
        </is>
      </c>
      <c r="C117" t="inlineStr">
        <is>
          <t>Föryngringsavverkning</t>
        </is>
      </c>
      <c r="D117" s="1" t="n">
        <v>45747</v>
      </c>
      <c r="E117" s="1" t="n">
        <v>46216</v>
      </c>
      <c r="F117" t="inlineStr">
        <is>
          <t>VÄSTRA GÖTALANDS LÄN</t>
        </is>
      </c>
      <c r="G117" t="inlineStr">
        <is>
          <t>TRANEMO</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15330-2025</t>
        </is>
      </c>
      <c r="B118" t="inlineStr">
        <is>
          <t>avverkningsanmälan</t>
        </is>
      </c>
      <c r="C118" t="inlineStr">
        <is>
          <t>Föryngringsavverkning</t>
        </is>
      </c>
      <c r="D118" s="1" t="n">
        <v>45747</v>
      </c>
      <c r="E118" s="1" t="n">
        <v>46216</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62586-2023</t>
        </is>
      </c>
      <c r="B119" t="inlineStr">
        <is>
          <t>avverkningsanmälan</t>
        </is>
      </c>
      <c r="C119" t="inlineStr">
        <is>
          <t>Föryngringsavverkning</t>
        </is>
      </c>
      <c r="D119" s="1" t="n">
        <v>45270</v>
      </c>
      <c r="E119" s="1" t="n">
        <v>46216</v>
      </c>
      <c r="F119" t="inlineStr">
        <is>
          <t>VÄSTRA GÖTALANDS LÄN</t>
        </is>
      </c>
      <c r="G119" t="inlineStr">
        <is>
          <t>TRANEMO</t>
        </is>
      </c>
      <c r="I119" t="n">
        <v>1.7</v>
      </c>
      <c r="J119" t="n">
        <v>0</v>
      </c>
      <c r="K119" t="n">
        <v>0</v>
      </c>
      <c r="L119" t="n">
        <v>0</v>
      </c>
      <c r="M119" t="n">
        <v>0</v>
      </c>
      <c r="N119" t="n">
        <v>0</v>
      </c>
      <c r="O119" t="n">
        <v>0</v>
      </c>
      <c r="P119" t="n">
        <v>0</v>
      </c>
      <c r="Q119" t="n">
        <v>0</v>
      </c>
      <c r="R119" t="n">
        <v>0</v>
      </c>
      <c r="S119" t="n">
        <v>0</v>
      </c>
      <c r="T119" t="n">
        <v>0</v>
      </c>
      <c r="U119" s="2" t="inlineStr"/>
    </row>
    <row r="120" ht="15" customHeight="1">
      <c r="A120" t="inlineStr">
        <is>
          <t>A 37497-2023</t>
        </is>
      </c>
      <c r="B120" t="inlineStr">
        <is>
          <t>avverkningsanmälan</t>
        </is>
      </c>
      <c r="C120" t="inlineStr">
        <is>
          <t>Föryngringsavverkning</t>
        </is>
      </c>
      <c r="D120" s="1" t="n">
        <v>45157</v>
      </c>
      <c r="E120" s="1" t="n">
        <v>46216</v>
      </c>
      <c r="F120" t="inlineStr">
        <is>
          <t>VÄSTRA GÖTALANDS LÄN</t>
        </is>
      </c>
      <c r="G120" t="inlineStr">
        <is>
          <t>TRANEMO</t>
        </is>
      </c>
      <c r="I120" t="n">
        <v>3.6</v>
      </c>
      <c r="J120" t="n">
        <v>0</v>
      </c>
      <c r="K120" t="n">
        <v>0</v>
      </c>
      <c r="L120" t="n">
        <v>0</v>
      </c>
      <c r="M120" t="n">
        <v>0</v>
      </c>
      <c r="N120" t="n">
        <v>0</v>
      </c>
      <c r="O120" t="n">
        <v>0</v>
      </c>
      <c r="P120" t="n">
        <v>0</v>
      </c>
      <c r="Q120" t="n">
        <v>0</v>
      </c>
      <c r="R120" t="n">
        <v>0</v>
      </c>
      <c r="S120" t="n">
        <v>0</v>
      </c>
      <c r="T120" t="n">
        <v>0</v>
      </c>
      <c r="U120" s="2" t="inlineStr"/>
    </row>
    <row r="121" ht="15" customHeight="1">
      <c r="A121" t="inlineStr">
        <is>
          <t>A 25429-2022</t>
        </is>
      </c>
      <c r="B121" t="inlineStr">
        <is>
          <t>avverkningsanmälan</t>
        </is>
      </c>
      <c r="C121" t="inlineStr">
        <is>
          <t>Föryngringsavverkning</t>
        </is>
      </c>
      <c r="D121" s="1" t="n">
        <v>44732</v>
      </c>
      <c r="E121" s="1" t="n">
        <v>46216</v>
      </c>
      <c r="F121" t="inlineStr">
        <is>
          <t>VÄSTRA GÖTALANDS LÄN</t>
        </is>
      </c>
      <c r="G121" t="inlineStr">
        <is>
          <t>TRANEMO</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54459-2022</t>
        </is>
      </c>
      <c r="B122" t="inlineStr">
        <is>
          <t>avverkningsanmälan</t>
        </is>
      </c>
      <c r="C122" t="inlineStr">
        <is>
          <t>Föryngringsavverkning</t>
        </is>
      </c>
      <c r="D122" s="1" t="n">
        <v>44882</v>
      </c>
      <c r="E122" s="1" t="n">
        <v>46216</v>
      </c>
      <c r="F122" t="inlineStr">
        <is>
          <t>VÄSTRA GÖTALANDS LÄN</t>
        </is>
      </c>
      <c r="G122" t="inlineStr">
        <is>
          <t>TRANEMO</t>
        </is>
      </c>
      <c r="I122" t="n">
        <v>3.2</v>
      </c>
      <c r="J122" t="n">
        <v>0</v>
      </c>
      <c r="K122" t="n">
        <v>0</v>
      </c>
      <c r="L122" t="n">
        <v>0</v>
      </c>
      <c r="M122" t="n">
        <v>0</v>
      </c>
      <c r="N122" t="n">
        <v>0</v>
      </c>
      <c r="O122" t="n">
        <v>0</v>
      </c>
      <c r="P122" t="n">
        <v>0</v>
      </c>
      <c r="Q122" t="n">
        <v>0</v>
      </c>
      <c r="R122" t="n">
        <v>0</v>
      </c>
      <c r="S122" t="n">
        <v>0</v>
      </c>
      <c r="T122" t="n">
        <v>0</v>
      </c>
      <c r="U122" s="2" t="inlineStr"/>
    </row>
    <row r="123" ht="15" customHeight="1">
      <c r="A123" t="inlineStr">
        <is>
          <t>A 9005-2025</t>
        </is>
      </c>
      <c r="B123" t="inlineStr">
        <is>
          <t>avverkningsanmälan</t>
        </is>
      </c>
      <c r="C123" t="inlineStr">
        <is>
          <t>Föryngringsavverkning</t>
        </is>
      </c>
      <c r="D123" s="1" t="n">
        <v>45713</v>
      </c>
      <c r="E123" s="1" t="n">
        <v>46216</v>
      </c>
      <c r="F123" t="inlineStr">
        <is>
          <t>VÄSTRA GÖTALANDS LÄN</t>
        </is>
      </c>
      <c r="G123" t="inlineStr">
        <is>
          <t>TRANEMO</t>
        </is>
      </c>
      <c r="I123" t="n">
        <v>4.2</v>
      </c>
      <c r="J123" t="n">
        <v>0</v>
      </c>
      <c r="K123" t="n">
        <v>0</v>
      </c>
      <c r="L123" t="n">
        <v>0</v>
      </c>
      <c r="M123" t="n">
        <v>0</v>
      </c>
      <c r="N123" t="n">
        <v>0</v>
      </c>
      <c r="O123" t="n">
        <v>0</v>
      </c>
      <c r="P123" t="n">
        <v>0</v>
      </c>
      <c r="Q123" t="n">
        <v>0</v>
      </c>
      <c r="R123" t="n">
        <v>0</v>
      </c>
      <c r="S123" t="n">
        <v>0</v>
      </c>
      <c r="T123" t="n">
        <v>0</v>
      </c>
      <c r="U123" s="2" t="inlineStr"/>
    </row>
    <row r="124" ht="15" customHeight="1">
      <c r="A124" t="inlineStr">
        <is>
          <t>A 3249-2023</t>
        </is>
      </c>
      <c r="B124" t="inlineStr">
        <is>
          <t>avverkningsanmälan</t>
        </is>
      </c>
      <c r="C124" t="inlineStr">
        <is>
          <t>Föryngringsavverkning</t>
        </is>
      </c>
      <c r="D124" s="1" t="n">
        <v>44947</v>
      </c>
      <c r="E124" s="1" t="n">
        <v>46216</v>
      </c>
      <c r="F124" t="inlineStr">
        <is>
          <t>VÄSTRA GÖTALANDS LÄN</t>
        </is>
      </c>
      <c r="G124" t="inlineStr">
        <is>
          <t>TRANEMO</t>
        </is>
      </c>
      <c r="I124" t="n">
        <v>3.3</v>
      </c>
      <c r="J124" t="n">
        <v>0</v>
      </c>
      <c r="K124" t="n">
        <v>0</v>
      </c>
      <c r="L124" t="n">
        <v>0</v>
      </c>
      <c r="M124" t="n">
        <v>0</v>
      </c>
      <c r="N124" t="n">
        <v>0</v>
      </c>
      <c r="O124" t="n">
        <v>0</v>
      </c>
      <c r="P124" t="n">
        <v>0</v>
      </c>
      <c r="Q124" t="n">
        <v>0</v>
      </c>
      <c r="R124" t="n">
        <v>0</v>
      </c>
      <c r="S124" t="n">
        <v>0</v>
      </c>
      <c r="T124" t="n">
        <v>0</v>
      </c>
      <c r="U124" s="2" t="inlineStr"/>
    </row>
    <row r="125" ht="15" customHeight="1">
      <c r="A125" t="inlineStr">
        <is>
          <t>A 12002-2024</t>
        </is>
      </c>
      <c r="B125" t="inlineStr">
        <is>
          <t>avverkningsanmälan</t>
        </is>
      </c>
      <c r="C125" t="inlineStr">
        <is>
          <t>Föryngringsavverkning</t>
        </is>
      </c>
      <c r="D125" s="1" t="n">
        <v>45377</v>
      </c>
      <c r="E125" s="1" t="n">
        <v>46216</v>
      </c>
      <c r="F125" t="inlineStr">
        <is>
          <t>VÄSTRA GÖTALANDS LÄN</t>
        </is>
      </c>
      <c r="G125" t="inlineStr">
        <is>
          <t>TRANEMO</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2922-2024</t>
        </is>
      </c>
      <c r="B126" t="inlineStr">
        <is>
          <t>avverkningsanmälan</t>
        </is>
      </c>
      <c r="C126" t="inlineStr">
        <is>
          <t>Föryngringsavverkning</t>
        </is>
      </c>
      <c r="D126" s="1" t="n">
        <v>45315</v>
      </c>
      <c r="E126" s="1" t="n">
        <v>46216</v>
      </c>
      <c r="F126" t="inlineStr">
        <is>
          <t>VÄSTRA GÖTALANDS LÄN</t>
        </is>
      </c>
      <c r="G126" t="inlineStr">
        <is>
          <t>TRANEMO</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4410-2024</t>
        </is>
      </c>
      <c r="B127" t="inlineStr">
        <is>
          <t>avverkningsanmälan</t>
        </is>
      </c>
      <c r="C127" t="inlineStr">
        <is>
          <t>Föryngringsavverkning</t>
        </is>
      </c>
      <c r="D127" s="1" t="n">
        <v>45327</v>
      </c>
      <c r="E127" s="1" t="n">
        <v>46216</v>
      </c>
      <c r="F127" t="inlineStr">
        <is>
          <t>VÄSTRA GÖTALANDS LÄN</t>
        </is>
      </c>
      <c r="G127" t="inlineStr">
        <is>
          <t>TRANEMO</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47088-2022</t>
        </is>
      </c>
      <c r="B128" t="inlineStr">
        <is>
          <t>avverkningsanmälan</t>
        </is>
      </c>
      <c r="C128" t="inlineStr">
        <is>
          <t>Föryngringsavverkning</t>
        </is>
      </c>
      <c r="D128" s="1" t="n">
        <v>44852</v>
      </c>
      <c r="E128" s="1" t="n">
        <v>46216</v>
      </c>
      <c r="F128" t="inlineStr">
        <is>
          <t>VÄSTRA GÖTALANDS LÄN</t>
        </is>
      </c>
      <c r="G128" t="inlineStr">
        <is>
          <t>TRANEMO</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39428-2024</t>
        </is>
      </c>
      <c r="B129" t="inlineStr">
        <is>
          <t>avverkningsanmälan</t>
        </is>
      </c>
      <c r="C129" t="inlineStr">
        <is>
          <t>Föryngringsavverkning</t>
        </is>
      </c>
      <c r="D129" s="1" t="n">
        <v>45551</v>
      </c>
      <c r="E129" s="1" t="n">
        <v>46216</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9872-2024</t>
        </is>
      </c>
      <c r="B130" t="inlineStr">
        <is>
          <t>avverkningsanmälan</t>
        </is>
      </c>
      <c r="C130" t="inlineStr">
        <is>
          <t>Föryngringsavverkning</t>
        </is>
      </c>
      <c r="D130" s="1" t="n">
        <v>45363</v>
      </c>
      <c r="E130" s="1" t="n">
        <v>46216</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14007-2025</t>
        </is>
      </c>
      <c r="B131" t="inlineStr">
        <is>
          <t>avverkningsanmälan</t>
        </is>
      </c>
      <c r="C131" t="inlineStr">
        <is>
          <t>Föryngringsavverkning</t>
        </is>
      </c>
      <c r="D131" s="1" t="n">
        <v>45740</v>
      </c>
      <c r="E131" s="1" t="n">
        <v>46216</v>
      </c>
      <c r="F131" t="inlineStr">
        <is>
          <t>VÄSTRA GÖTALANDS LÄN</t>
        </is>
      </c>
      <c r="G131" t="inlineStr">
        <is>
          <t>TRANEMO</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58647-2022</t>
        </is>
      </c>
      <c r="B132" t="inlineStr">
        <is>
          <t>avverkningsanmälan</t>
        </is>
      </c>
      <c r="C132" t="inlineStr">
        <is>
          <t>Föryngringsavverkning</t>
        </is>
      </c>
      <c r="D132" s="1" t="n">
        <v>44902</v>
      </c>
      <c r="E132" s="1" t="n">
        <v>46216</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42832-2024</t>
        </is>
      </c>
      <c r="B133" t="inlineStr">
        <is>
          <t>avverkningsanmälan</t>
        </is>
      </c>
      <c r="C133" t="inlineStr">
        <is>
          <t>Föryngringsavverkning</t>
        </is>
      </c>
      <c r="D133" s="1" t="n">
        <v>45566</v>
      </c>
      <c r="E133" s="1" t="n">
        <v>46216</v>
      </c>
      <c r="F133" t="inlineStr">
        <is>
          <t>VÄSTRA GÖTALANDS LÄN</t>
        </is>
      </c>
      <c r="G133" t="inlineStr">
        <is>
          <t>TRANEMO</t>
        </is>
      </c>
      <c r="I133" t="n">
        <v>5.1</v>
      </c>
      <c r="J133" t="n">
        <v>0</v>
      </c>
      <c r="K133" t="n">
        <v>0</v>
      </c>
      <c r="L133" t="n">
        <v>0</v>
      </c>
      <c r="M133" t="n">
        <v>0</v>
      </c>
      <c r="N133" t="n">
        <v>0</v>
      </c>
      <c r="O133" t="n">
        <v>0</v>
      </c>
      <c r="P133" t="n">
        <v>0</v>
      </c>
      <c r="Q133" t="n">
        <v>0</v>
      </c>
      <c r="R133" t="n">
        <v>0</v>
      </c>
      <c r="S133" t="n">
        <v>0</v>
      </c>
      <c r="T133" t="n">
        <v>0</v>
      </c>
      <c r="U133" s="2" t="inlineStr"/>
    </row>
    <row r="134" ht="15" customHeight="1">
      <c r="A134" t="inlineStr">
        <is>
          <t>A 50855-2022</t>
        </is>
      </c>
      <c r="B134" t="inlineStr">
        <is>
          <t>avverkningsanmälan</t>
        </is>
      </c>
      <c r="C134" t="inlineStr">
        <is>
          <t>Föryngringsavverkning</t>
        </is>
      </c>
      <c r="D134" s="1" t="n">
        <v>44867</v>
      </c>
      <c r="E134" s="1" t="n">
        <v>46216</v>
      </c>
      <c r="F134" t="inlineStr">
        <is>
          <t>VÄSTRA GÖTALANDS LÄN</t>
        </is>
      </c>
      <c r="G134" t="inlineStr">
        <is>
          <t>TRANEMO</t>
        </is>
      </c>
      <c r="I134" t="n">
        <v>8.4</v>
      </c>
      <c r="J134" t="n">
        <v>0</v>
      </c>
      <c r="K134" t="n">
        <v>0</v>
      </c>
      <c r="L134" t="n">
        <v>0</v>
      </c>
      <c r="M134" t="n">
        <v>0</v>
      </c>
      <c r="N134" t="n">
        <v>0</v>
      </c>
      <c r="O134" t="n">
        <v>0</v>
      </c>
      <c r="P134" t="n">
        <v>0</v>
      </c>
      <c r="Q134" t="n">
        <v>0</v>
      </c>
      <c r="R134" t="n">
        <v>0</v>
      </c>
      <c r="S134" t="n">
        <v>0</v>
      </c>
      <c r="T134" t="n">
        <v>0</v>
      </c>
      <c r="U134" s="2" t="inlineStr"/>
    </row>
    <row r="135" ht="15" customHeight="1">
      <c r="A135" t="inlineStr">
        <is>
          <t>A 1440-2023</t>
        </is>
      </c>
      <c r="B135" t="inlineStr">
        <is>
          <t>avverkningsanmälan</t>
        </is>
      </c>
      <c r="C135" t="inlineStr">
        <is>
          <t>Föryngringsavverkning</t>
        </is>
      </c>
      <c r="D135" s="1" t="n">
        <v>44931</v>
      </c>
      <c r="E135" s="1" t="n">
        <v>46216</v>
      </c>
      <c r="F135" t="inlineStr">
        <is>
          <t>VÄSTRA GÖTALANDS LÄN</t>
        </is>
      </c>
      <c r="G135" t="inlineStr">
        <is>
          <t>TRANEMO</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6997-2025</t>
        </is>
      </c>
      <c r="B136" t="inlineStr">
        <is>
          <t>avverkningsanmälan</t>
        </is>
      </c>
      <c r="C136" t="inlineStr">
        <is>
          <t>Föryngringsavverkning</t>
        </is>
      </c>
      <c r="D136" s="1" t="n">
        <v>45701</v>
      </c>
      <c r="E136" s="1" t="n">
        <v>46216</v>
      </c>
      <c r="F136" t="inlineStr">
        <is>
          <t>VÄSTRA GÖTALANDS LÄN</t>
        </is>
      </c>
      <c r="G136" t="inlineStr">
        <is>
          <t>TRANEMO</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44756-2024</t>
        </is>
      </c>
      <c r="B137" t="inlineStr">
        <is>
          <t>avverkningsanmälan</t>
        </is>
      </c>
      <c r="C137" t="inlineStr">
        <is>
          <t>Föryngringsavverkning</t>
        </is>
      </c>
      <c r="D137" s="1" t="n">
        <v>45574</v>
      </c>
      <c r="E137" s="1" t="n">
        <v>46216</v>
      </c>
      <c r="F137" t="inlineStr">
        <is>
          <t>VÄSTRA GÖTALANDS LÄN</t>
        </is>
      </c>
      <c r="G137" t="inlineStr">
        <is>
          <t>TRANEMO</t>
        </is>
      </c>
      <c r="H137" t="inlineStr">
        <is>
          <t>Sveaskog</t>
        </is>
      </c>
      <c r="I137" t="n">
        <v>3.9</v>
      </c>
      <c r="J137" t="n">
        <v>0</v>
      </c>
      <c r="K137" t="n">
        <v>0</v>
      </c>
      <c r="L137" t="n">
        <v>0</v>
      </c>
      <c r="M137" t="n">
        <v>0</v>
      </c>
      <c r="N137" t="n">
        <v>0</v>
      </c>
      <c r="O137" t="n">
        <v>0</v>
      </c>
      <c r="P137" t="n">
        <v>0</v>
      </c>
      <c r="Q137" t="n">
        <v>0</v>
      </c>
      <c r="R137" t="n">
        <v>0</v>
      </c>
      <c r="S137" t="n">
        <v>0</v>
      </c>
      <c r="T137" t="n">
        <v>0</v>
      </c>
      <c r="U137" s="2" t="inlineStr"/>
    </row>
    <row r="138" ht="15" customHeight="1">
      <c r="A138" t="inlineStr">
        <is>
          <t>A 18779-2024</t>
        </is>
      </c>
      <c r="B138" t="inlineStr">
        <is>
          <t>avverkningsanmälan</t>
        </is>
      </c>
      <c r="C138" t="inlineStr">
        <is>
          <t>Föryngringsavverkning</t>
        </is>
      </c>
      <c r="D138" s="1" t="n">
        <v>45426</v>
      </c>
      <c r="E138" s="1" t="n">
        <v>46216</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60475-2023</t>
        </is>
      </c>
      <c r="B139" t="inlineStr">
        <is>
          <t>avverkningsanmälan</t>
        </is>
      </c>
      <c r="C139" t="inlineStr">
        <is>
          <t>Föryngringsavverkning</t>
        </is>
      </c>
      <c r="D139" s="1" t="n">
        <v>45259</v>
      </c>
      <c r="E139" s="1" t="n">
        <v>46216</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29574-2024</t>
        </is>
      </c>
      <c r="B140" t="inlineStr">
        <is>
          <t>avverkningsanmälan</t>
        </is>
      </c>
      <c r="C140" t="inlineStr">
        <is>
          <t>Föryngringsavverkning</t>
        </is>
      </c>
      <c r="D140" s="1" t="n">
        <v>45484</v>
      </c>
      <c r="E140" s="1" t="n">
        <v>46216</v>
      </c>
      <c r="F140" t="inlineStr">
        <is>
          <t>VÄSTRA GÖTALANDS LÄN</t>
        </is>
      </c>
      <c r="G140" t="inlineStr">
        <is>
          <t>TRANEMO</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52272-2023</t>
        </is>
      </c>
      <c r="B141" t="inlineStr">
        <is>
          <t>avverkningsanmälan</t>
        </is>
      </c>
      <c r="C141" t="inlineStr">
        <is>
          <t>Föryngringsavverkning</t>
        </is>
      </c>
      <c r="D141" s="1" t="n">
        <v>45224</v>
      </c>
      <c r="E141" s="1" t="n">
        <v>46216</v>
      </c>
      <c r="F141" t="inlineStr">
        <is>
          <t>VÄSTRA GÖTALANDS LÄN</t>
        </is>
      </c>
      <c r="G141" t="inlineStr">
        <is>
          <t>TRANEMO</t>
        </is>
      </c>
      <c r="H141" t="inlineStr">
        <is>
          <t>Sveaskog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868-2024</t>
        </is>
      </c>
      <c r="B142" t="inlineStr">
        <is>
          <t>avverkningsanmälan</t>
        </is>
      </c>
      <c r="C142" t="inlineStr">
        <is>
          <t>Föryngringsavverkning</t>
        </is>
      </c>
      <c r="D142" s="1" t="n">
        <v>45301</v>
      </c>
      <c r="E142" s="1" t="n">
        <v>46216</v>
      </c>
      <c r="F142" t="inlineStr">
        <is>
          <t>VÄSTRA GÖTALANDS LÄN</t>
        </is>
      </c>
      <c r="G142" t="inlineStr">
        <is>
          <t>TRANEMO</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44072-2024</t>
        </is>
      </c>
      <c r="B143" t="inlineStr">
        <is>
          <t>avverkningsanmälan</t>
        </is>
      </c>
      <c r="C143" t="inlineStr">
        <is>
          <t>Föryngringsavverkning</t>
        </is>
      </c>
      <c r="D143" s="1" t="n">
        <v>45572</v>
      </c>
      <c r="E143" s="1" t="n">
        <v>46216</v>
      </c>
      <c r="F143" t="inlineStr">
        <is>
          <t>VÄSTRA GÖTALANDS LÄN</t>
        </is>
      </c>
      <c r="G143" t="inlineStr">
        <is>
          <t>TRANEMO</t>
        </is>
      </c>
      <c r="I143" t="n">
        <v>2.7</v>
      </c>
      <c r="J143" t="n">
        <v>0</v>
      </c>
      <c r="K143" t="n">
        <v>0</v>
      </c>
      <c r="L143" t="n">
        <v>0</v>
      </c>
      <c r="M143" t="n">
        <v>0</v>
      </c>
      <c r="N143" t="n">
        <v>0</v>
      </c>
      <c r="O143" t="n">
        <v>0</v>
      </c>
      <c r="P143" t="n">
        <v>0</v>
      </c>
      <c r="Q143" t="n">
        <v>0</v>
      </c>
      <c r="R143" t="n">
        <v>0</v>
      </c>
      <c r="S143" t="n">
        <v>0</v>
      </c>
      <c r="T143" t="n">
        <v>0</v>
      </c>
      <c r="U143" s="2" t="inlineStr"/>
    </row>
    <row r="144" ht="15" customHeight="1">
      <c r="A144" t="inlineStr">
        <is>
          <t>A 59734-2023</t>
        </is>
      </c>
      <c r="B144" t="inlineStr">
        <is>
          <t>avverkningsanmälan</t>
        </is>
      </c>
      <c r="C144" t="inlineStr">
        <is>
          <t>Föryngringsavverkning</t>
        </is>
      </c>
      <c r="D144" s="1" t="n">
        <v>45257</v>
      </c>
      <c r="E144" s="1" t="n">
        <v>46216</v>
      </c>
      <c r="F144" t="inlineStr">
        <is>
          <t>VÄSTRA GÖTALANDS LÄN</t>
        </is>
      </c>
      <c r="G144" t="inlineStr">
        <is>
          <t>TRANEMO</t>
        </is>
      </c>
      <c r="I144" t="n">
        <v>3.2</v>
      </c>
      <c r="J144" t="n">
        <v>0</v>
      </c>
      <c r="K144" t="n">
        <v>0</v>
      </c>
      <c r="L144" t="n">
        <v>0</v>
      </c>
      <c r="M144" t="n">
        <v>0</v>
      </c>
      <c r="N144" t="n">
        <v>0</v>
      </c>
      <c r="O144" t="n">
        <v>0</v>
      </c>
      <c r="P144" t="n">
        <v>0</v>
      </c>
      <c r="Q144" t="n">
        <v>0</v>
      </c>
      <c r="R144" t="n">
        <v>0</v>
      </c>
      <c r="S144" t="n">
        <v>0</v>
      </c>
      <c r="T144" t="n">
        <v>0</v>
      </c>
      <c r="U144" s="2" t="inlineStr"/>
    </row>
    <row r="145" ht="15" customHeight="1">
      <c r="A145" t="inlineStr">
        <is>
          <t>A 28651-2025</t>
        </is>
      </c>
      <c r="B145" t="inlineStr">
        <is>
          <t>avverkningsanmälan</t>
        </is>
      </c>
      <c r="C145" t="inlineStr">
        <is>
          <t>Föryngringsavverkning</t>
        </is>
      </c>
      <c r="D145" s="1" t="n">
        <v>45819</v>
      </c>
      <c r="E145" s="1" t="n">
        <v>46216</v>
      </c>
      <c r="F145" t="inlineStr">
        <is>
          <t>VÄSTRA GÖTALANDS LÄN</t>
        </is>
      </c>
      <c r="G145" t="inlineStr">
        <is>
          <t>TRANEMO</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5035-2023</t>
        </is>
      </c>
      <c r="B146" t="inlineStr">
        <is>
          <t>avverkningsanmälan</t>
        </is>
      </c>
      <c r="C146" t="inlineStr">
        <is>
          <t>Föryngringsavverkning</t>
        </is>
      </c>
      <c r="D146" s="1" t="n">
        <v>44958</v>
      </c>
      <c r="E146" s="1" t="n">
        <v>46216</v>
      </c>
      <c r="F146" t="inlineStr">
        <is>
          <t>VÄSTRA GÖTALANDS LÄN</t>
        </is>
      </c>
      <c r="G146" t="inlineStr">
        <is>
          <t>TRANEMO</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5023-2023</t>
        </is>
      </c>
      <c r="B147" t="inlineStr">
        <is>
          <t>avverkningsanmälan</t>
        </is>
      </c>
      <c r="C147" t="inlineStr">
        <is>
          <t>Föryngringsavverkning</t>
        </is>
      </c>
      <c r="D147" s="1" t="n">
        <v>44958</v>
      </c>
      <c r="E147" s="1" t="n">
        <v>46216</v>
      </c>
      <c r="F147" t="inlineStr">
        <is>
          <t>VÄSTRA GÖTALANDS LÄN</t>
        </is>
      </c>
      <c r="G147" t="inlineStr">
        <is>
          <t>TRANEMO</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677-2026</t>
        </is>
      </c>
      <c r="B148" t="inlineStr">
        <is>
          <t>avverkningsanmälan</t>
        </is>
      </c>
      <c r="C148" t="inlineStr">
        <is>
          <t>Föryngringsavverkning</t>
        </is>
      </c>
      <c r="D148" s="1" t="n">
        <v>46029</v>
      </c>
      <c r="E148" s="1" t="n">
        <v>46216</v>
      </c>
      <c r="F148" t="inlineStr">
        <is>
          <t>VÄSTRA GÖTALANDS LÄN</t>
        </is>
      </c>
      <c r="G148" t="inlineStr">
        <is>
          <t>TRANEMO</t>
        </is>
      </c>
      <c r="I148" t="n">
        <v>6.2</v>
      </c>
      <c r="J148" t="n">
        <v>0</v>
      </c>
      <c r="K148" t="n">
        <v>0</v>
      </c>
      <c r="L148" t="n">
        <v>0</v>
      </c>
      <c r="M148" t="n">
        <v>0</v>
      </c>
      <c r="N148" t="n">
        <v>0</v>
      </c>
      <c r="O148" t="n">
        <v>0</v>
      </c>
      <c r="P148" t="n">
        <v>0</v>
      </c>
      <c r="Q148" t="n">
        <v>0</v>
      </c>
      <c r="R148" t="n">
        <v>0</v>
      </c>
      <c r="S148" t="n">
        <v>0</v>
      </c>
      <c r="T148" t="n">
        <v>0</v>
      </c>
      <c r="U148" s="2" t="inlineStr"/>
    </row>
    <row r="149" ht="15" customHeight="1">
      <c r="A149" t="inlineStr">
        <is>
          <t>A 5711-2025</t>
        </is>
      </c>
      <c r="B149" t="inlineStr">
        <is>
          <t>avverkningsanmälan</t>
        </is>
      </c>
      <c r="C149" t="inlineStr">
        <is>
          <t>Föryngringsavverkning</t>
        </is>
      </c>
      <c r="D149" s="1" t="n">
        <v>45694</v>
      </c>
      <c r="E149" s="1" t="n">
        <v>46216</v>
      </c>
      <c r="F149" t="inlineStr">
        <is>
          <t>VÄSTRA GÖTALANDS LÄN</t>
        </is>
      </c>
      <c r="G149" t="inlineStr">
        <is>
          <t>TRANEMO</t>
        </is>
      </c>
      <c r="H149" t="inlineStr">
        <is>
          <t>Kyrkan</t>
        </is>
      </c>
      <c r="I149" t="n">
        <v>1.2</v>
      </c>
      <c r="J149" t="n">
        <v>0</v>
      </c>
      <c r="K149" t="n">
        <v>0</v>
      </c>
      <c r="L149" t="n">
        <v>0</v>
      </c>
      <c r="M149" t="n">
        <v>0</v>
      </c>
      <c r="N149" t="n">
        <v>0</v>
      </c>
      <c r="O149" t="n">
        <v>0</v>
      </c>
      <c r="P149" t="n">
        <v>0</v>
      </c>
      <c r="Q149" t="n">
        <v>0</v>
      </c>
      <c r="R149" t="n">
        <v>0</v>
      </c>
      <c r="S149" t="n">
        <v>0</v>
      </c>
      <c r="T149" t="n">
        <v>0</v>
      </c>
      <c r="U149" s="2" t="inlineStr"/>
    </row>
    <row r="150" ht="15" customHeight="1">
      <c r="A150" t="inlineStr">
        <is>
          <t>A 44470-2023</t>
        </is>
      </c>
      <c r="B150" t="inlineStr">
        <is>
          <t>avverkningsanmälan</t>
        </is>
      </c>
      <c r="C150" t="inlineStr">
        <is>
          <t>Föryngringsavverkning</t>
        </is>
      </c>
      <c r="D150" s="1" t="n">
        <v>45183</v>
      </c>
      <c r="E150" s="1" t="n">
        <v>46216</v>
      </c>
      <c r="F150" t="inlineStr">
        <is>
          <t>VÄSTRA GÖTALANDS LÄN</t>
        </is>
      </c>
      <c r="G150" t="inlineStr">
        <is>
          <t>TRANEMO</t>
        </is>
      </c>
      <c r="I150" t="n">
        <v>5.4</v>
      </c>
      <c r="J150" t="n">
        <v>0</v>
      </c>
      <c r="K150" t="n">
        <v>0</v>
      </c>
      <c r="L150" t="n">
        <v>0</v>
      </c>
      <c r="M150" t="n">
        <v>0</v>
      </c>
      <c r="N150" t="n">
        <v>0</v>
      </c>
      <c r="O150" t="n">
        <v>0</v>
      </c>
      <c r="P150" t="n">
        <v>0</v>
      </c>
      <c r="Q150" t="n">
        <v>0</v>
      </c>
      <c r="R150" t="n">
        <v>0</v>
      </c>
      <c r="S150" t="n">
        <v>0</v>
      </c>
      <c r="T150" t="n">
        <v>0</v>
      </c>
      <c r="U150" s="2" t="inlineStr"/>
    </row>
    <row r="151" ht="15" customHeight="1">
      <c r="A151" t="inlineStr">
        <is>
          <t>A 50528-2022</t>
        </is>
      </c>
      <c r="B151" t="inlineStr">
        <is>
          <t>avverkningsanmälan</t>
        </is>
      </c>
      <c r="C151" t="inlineStr">
        <is>
          <t>Föryngringsavverkning</t>
        </is>
      </c>
      <c r="D151" s="1" t="n">
        <v>44866</v>
      </c>
      <c r="E151" s="1" t="n">
        <v>46216</v>
      </c>
      <c r="F151" t="inlineStr">
        <is>
          <t>VÄSTRA GÖTALANDS LÄN</t>
        </is>
      </c>
      <c r="G151" t="inlineStr">
        <is>
          <t>TRANEMO</t>
        </is>
      </c>
      <c r="H151" t="inlineStr">
        <is>
          <t>Sveaskog</t>
        </is>
      </c>
      <c r="I151" t="n">
        <v>2.4</v>
      </c>
      <c r="J151" t="n">
        <v>0</v>
      </c>
      <c r="K151" t="n">
        <v>0</v>
      </c>
      <c r="L151" t="n">
        <v>0</v>
      </c>
      <c r="M151" t="n">
        <v>0</v>
      </c>
      <c r="N151" t="n">
        <v>0</v>
      </c>
      <c r="O151" t="n">
        <v>0</v>
      </c>
      <c r="P151" t="n">
        <v>0</v>
      </c>
      <c r="Q151" t="n">
        <v>0</v>
      </c>
      <c r="R151" t="n">
        <v>0</v>
      </c>
      <c r="S151" t="n">
        <v>0</v>
      </c>
      <c r="T151" t="n">
        <v>0</v>
      </c>
      <c r="U151" s="2" t="inlineStr"/>
    </row>
    <row r="152" ht="15" customHeight="1">
      <c r="A152" t="inlineStr">
        <is>
          <t>A 25880-2024</t>
        </is>
      </c>
      <c r="B152" t="inlineStr">
        <is>
          <t>avverkningsanmälan</t>
        </is>
      </c>
      <c r="C152" t="inlineStr">
        <is>
          <t>Föryngringsavverkning</t>
        </is>
      </c>
      <c r="D152" s="1" t="n">
        <v>45467</v>
      </c>
      <c r="E152" s="1" t="n">
        <v>46216</v>
      </c>
      <c r="F152" t="inlineStr">
        <is>
          <t>VÄSTRA GÖTALANDS LÄN</t>
        </is>
      </c>
      <c r="G152" t="inlineStr">
        <is>
          <t>TRANEMO</t>
        </is>
      </c>
      <c r="I152" t="n">
        <v>4.2</v>
      </c>
      <c r="J152" t="n">
        <v>0</v>
      </c>
      <c r="K152" t="n">
        <v>0</v>
      </c>
      <c r="L152" t="n">
        <v>0</v>
      </c>
      <c r="M152" t="n">
        <v>0</v>
      </c>
      <c r="N152" t="n">
        <v>0</v>
      </c>
      <c r="O152" t="n">
        <v>0</v>
      </c>
      <c r="P152" t="n">
        <v>0</v>
      </c>
      <c r="Q152" t="n">
        <v>0</v>
      </c>
      <c r="R152" t="n">
        <v>0</v>
      </c>
      <c r="S152" t="n">
        <v>0</v>
      </c>
      <c r="T152" t="n">
        <v>0</v>
      </c>
      <c r="U152" s="2" t="inlineStr"/>
    </row>
    <row r="153" ht="15" customHeight="1">
      <c r="A153" t="inlineStr">
        <is>
          <t>A 26895-2023</t>
        </is>
      </c>
      <c r="B153" t="inlineStr">
        <is>
          <t>avverkningsanmälan</t>
        </is>
      </c>
      <c r="C153" t="inlineStr">
        <is>
          <t>Föryngringsavverkning</t>
        </is>
      </c>
      <c r="D153" s="1" t="n">
        <v>45093</v>
      </c>
      <c r="E153" s="1" t="n">
        <v>46216</v>
      </c>
      <c r="F153" t="inlineStr">
        <is>
          <t>VÄSTRA GÖTALANDS LÄN</t>
        </is>
      </c>
      <c r="G153" t="inlineStr">
        <is>
          <t>TRANEMO</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36576-2023</t>
        </is>
      </c>
      <c r="B154" t="inlineStr">
        <is>
          <t>avverkningsanmälan</t>
        </is>
      </c>
      <c r="C154" t="inlineStr">
        <is>
          <t>Föryngringsavverkning</t>
        </is>
      </c>
      <c r="D154" s="1" t="n">
        <v>45153</v>
      </c>
      <c r="E154" s="1" t="n">
        <v>46216</v>
      </c>
      <c r="F154" t="inlineStr">
        <is>
          <t>VÄSTRA GÖTALANDS LÄN</t>
        </is>
      </c>
      <c r="G154" t="inlineStr">
        <is>
          <t>TRANEMO</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18932-2023</t>
        </is>
      </c>
      <c r="B155" t="inlineStr">
        <is>
          <t>avverkningsanmälan</t>
        </is>
      </c>
      <c r="C155" t="inlineStr">
        <is>
          <t>Föryngringsavverkning</t>
        </is>
      </c>
      <c r="D155" s="1" t="n">
        <v>45044</v>
      </c>
      <c r="E155" s="1" t="n">
        <v>46216</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39010-2025</t>
        </is>
      </c>
      <c r="B156" t="inlineStr">
        <is>
          <t>avverkningsanmälan</t>
        </is>
      </c>
      <c r="C156" t="inlineStr">
        <is>
          <t>Föryngringsavverkning</t>
        </is>
      </c>
      <c r="D156" s="1" t="n">
        <v>45888</v>
      </c>
      <c r="E156" s="1" t="n">
        <v>46216</v>
      </c>
      <c r="F156" t="inlineStr">
        <is>
          <t>VÄSTRA GÖTALANDS LÄN</t>
        </is>
      </c>
      <c r="G156" t="inlineStr">
        <is>
          <t>TRANEMO</t>
        </is>
      </c>
      <c r="I156" t="n">
        <v>5.4</v>
      </c>
      <c r="J156" t="n">
        <v>0</v>
      </c>
      <c r="K156" t="n">
        <v>0</v>
      </c>
      <c r="L156" t="n">
        <v>0</v>
      </c>
      <c r="M156" t="n">
        <v>0</v>
      </c>
      <c r="N156" t="n">
        <v>0</v>
      </c>
      <c r="O156" t="n">
        <v>0</v>
      </c>
      <c r="P156" t="n">
        <v>0</v>
      </c>
      <c r="Q156" t="n">
        <v>0</v>
      </c>
      <c r="R156" t="n">
        <v>0</v>
      </c>
      <c r="S156" t="n">
        <v>0</v>
      </c>
      <c r="T156" t="n">
        <v>0</v>
      </c>
      <c r="U156" s="2" t="inlineStr"/>
    </row>
    <row r="157" ht="15" customHeight="1">
      <c r="A157" t="inlineStr">
        <is>
          <t>A 10607-2023</t>
        </is>
      </c>
      <c r="B157" t="inlineStr">
        <is>
          <t>avverkningsanmälan</t>
        </is>
      </c>
      <c r="C157" t="inlineStr">
        <is>
          <t>Föryngringsavverkning</t>
        </is>
      </c>
      <c r="D157" s="1" t="n">
        <v>44988</v>
      </c>
      <c r="E157" s="1" t="n">
        <v>46216</v>
      </c>
      <c r="F157" t="inlineStr">
        <is>
          <t>VÄSTRA GÖTALANDS LÄN</t>
        </is>
      </c>
      <c r="G157" t="inlineStr">
        <is>
          <t>TRANEMO</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58529-2023</t>
        </is>
      </c>
      <c r="B158" t="inlineStr">
        <is>
          <t>avverkningsanmälan</t>
        </is>
      </c>
      <c r="C158" t="inlineStr">
        <is>
          <t>Föryngringsavverkning</t>
        </is>
      </c>
      <c r="D158" s="1" t="n">
        <v>45251</v>
      </c>
      <c r="E158" s="1" t="n">
        <v>46216</v>
      </c>
      <c r="F158" t="inlineStr">
        <is>
          <t>VÄSTRA GÖTALANDS LÄN</t>
        </is>
      </c>
      <c r="G158" t="inlineStr">
        <is>
          <t>TRANEMO</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27760-2025</t>
        </is>
      </c>
      <c r="B159" t="inlineStr">
        <is>
          <t>avverkningsanmälan</t>
        </is>
      </c>
      <c r="C159" t="inlineStr">
        <is>
          <t>Föryngringsavverkning</t>
        </is>
      </c>
      <c r="D159" s="1" t="n">
        <v>45816</v>
      </c>
      <c r="E159" s="1" t="n">
        <v>46216</v>
      </c>
      <c r="F159" t="inlineStr">
        <is>
          <t>VÄSTRA GÖTALANDS LÄN</t>
        </is>
      </c>
      <c r="G159" t="inlineStr">
        <is>
          <t>TRANEMO</t>
        </is>
      </c>
      <c r="I159" t="n">
        <v>6.4</v>
      </c>
      <c r="J159" t="n">
        <v>0</v>
      </c>
      <c r="K159" t="n">
        <v>0</v>
      </c>
      <c r="L159" t="n">
        <v>0</v>
      </c>
      <c r="M159" t="n">
        <v>0</v>
      </c>
      <c r="N159" t="n">
        <v>0</v>
      </c>
      <c r="O159" t="n">
        <v>0</v>
      </c>
      <c r="P159" t="n">
        <v>0</v>
      </c>
      <c r="Q159" t="n">
        <v>0</v>
      </c>
      <c r="R159" t="n">
        <v>0</v>
      </c>
      <c r="S159" t="n">
        <v>0</v>
      </c>
      <c r="T159" t="n">
        <v>0</v>
      </c>
      <c r="U159" s="2" t="inlineStr"/>
    </row>
    <row r="160" ht="15" customHeight="1">
      <c r="A160" t="inlineStr">
        <is>
          <t>A 27734-2025</t>
        </is>
      </c>
      <c r="B160" t="inlineStr">
        <is>
          <t>avverkningsanmälan</t>
        </is>
      </c>
      <c r="C160" t="inlineStr">
        <is>
          <t>Föryngringsavverkning</t>
        </is>
      </c>
      <c r="D160" s="1" t="n">
        <v>45814</v>
      </c>
      <c r="E160" s="1" t="n">
        <v>46216</v>
      </c>
      <c r="F160" t="inlineStr">
        <is>
          <t>VÄSTRA GÖTALANDS LÄN</t>
        </is>
      </c>
      <c r="G160" t="inlineStr">
        <is>
          <t>TRANEMO</t>
        </is>
      </c>
      <c r="I160" t="n">
        <v>10</v>
      </c>
      <c r="J160" t="n">
        <v>0</v>
      </c>
      <c r="K160" t="n">
        <v>0</v>
      </c>
      <c r="L160" t="n">
        <v>0</v>
      </c>
      <c r="M160" t="n">
        <v>0</v>
      </c>
      <c r="N160" t="n">
        <v>0</v>
      </c>
      <c r="O160" t="n">
        <v>0</v>
      </c>
      <c r="P160" t="n">
        <v>0</v>
      </c>
      <c r="Q160" t="n">
        <v>0</v>
      </c>
      <c r="R160" t="n">
        <v>0</v>
      </c>
      <c r="S160" t="n">
        <v>0</v>
      </c>
      <c r="T160" t="n">
        <v>0</v>
      </c>
      <c r="U160" s="2" t="inlineStr"/>
    </row>
    <row r="161" ht="15" customHeight="1">
      <c r="A161" t="inlineStr">
        <is>
          <t>A 27766-2025</t>
        </is>
      </c>
      <c r="B161" t="inlineStr">
        <is>
          <t>avverkningsanmälan</t>
        </is>
      </c>
      <c r="C161" t="inlineStr">
        <is>
          <t>Föryngringsavverkning</t>
        </is>
      </c>
      <c r="D161" s="1" t="n">
        <v>45816</v>
      </c>
      <c r="E161" s="1" t="n">
        <v>46216</v>
      </c>
      <c r="F161" t="inlineStr">
        <is>
          <t>VÄSTRA GÖTALANDS LÄN</t>
        </is>
      </c>
      <c r="G161" t="inlineStr">
        <is>
          <t>TRANEMO</t>
        </is>
      </c>
      <c r="I161" t="n">
        <v>11.8</v>
      </c>
      <c r="J161" t="n">
        <v>0</v>
      </c>
      <c r="K161" t="n">
        <v>0</v>
      </c>
      <c r="L161" t="n">
        <v>0</v>
      </c>
      <c r="M161" t="n">
        <v>0</v>
      </c>
      <c r="N161" t="n">
        <v>0</v>
      </c>
      <c r="O161" t="n">
        <v>0</v>
      </c>
      <c r="P161" t="n">
        <v>0</v>
      </c>
      <c r="Q161" t="n">
        <v>0</v>
      </c>
      <c r="R161" t="n">
        <v>0</v>
      </c>
      <c r="S161" t="n">
        <v>0</v>
      </c>
      <c r="T161" t="n">
        <v>0</v>
      </c>
      <c r="U161" s="2" t="inlineStr"/>
    </row>
    <row r="162" ht="15" customHeight="1">
      <c r="A162" t="inlineStr">
        <is>
          <t>A 40229-2025</t>
        </is>
      </c>
      <c r="B162" t="inlineStr">
        <is>
          <t>avverkningsanmälan</t>
        </is>
      </c>
      <c r="C162" t="inlineStr">
        <is>
          <t>Föryngringsavverkning</t>
        </is>
      </c>
      <c r="D162" s="1" t="n">
        <v>45894</v>
      </c>
      <c r="E162" s="1" t="n">
        <v>46216</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27756-2025</t>
        </is>
      </c>
      <c r="B163" t="inlineStr">
        <is>
          <t>avverkningsanmälan</t>
        </is>
      </c>
      <c r="C163" t="inlineStr">
        <is>
          <t>Föryngringsavverkning</t>
        </is>
      </c>
      <c r="D163" s="1" t="n">
        <v>45815</v>
      </c>
      <c r="E163" s="1" t="n">
        <v>46216</v>
      </c>
      <c r="F163" t="inlineStr">
        <is>
          <t>VÄSTRA GÖTALANDS LÄN</t>
        </is>
      </c>
      <c r="G163" t="inlineStr">
        <is>
          <t>TRANEMO</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45498-2025</t>
        </is>
      </c>
      <c r="B164" t="inlineStr">
        <is>
          <t>avverkningsanmälan</t>
        </is>
      </c>
      <c r="C164" t="inlineStr">
        <is>
          <t>Föryngringsavverkning</t>
        </is>
      </c>
      <c r="D164" s="1" t="n">
        <v>45922</v>
      </c>
      <c r="E164" s="1" t="n">
        <v>46216</v>
      </c>
      <c r="F164" t="inlineStr">
        <is>
          <t>VÄSTRA GÖTALANDS LÄN</t>
        </is>
      </c>
      <c r="G164" t="inlineStr">
        <is>
          <t>TRANEMO</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40885-2025</t>
        </is>
      </c>
      <c r="B165" t="inlineStr">
        <is>
          <t>avverkningsanmälan</t>
        </is>
      </c>
      <c r="C165" t="inlineStr">
        <is>
          <t>Föryngringsavverkning</t>
        </is>
      </c>
      <c r="D165" s="1" t="n">
        <v>45897</v>
      </c>
      <c r="E165" s="1" t="n">
        <v>46216</v>
      </c>
      <c r="F165" t="inlineStr">
        <is>
          <t>VÄSTRA GÖTALANDS LÄN</t>
        </is>
      </c>
      <c r="G165" t="inlineStr">
        <is>
          <t>TRANEMO</t>
        </is>
      </c>
      <c r="H165" t="inlineStr">
        <is>
          <t>Sveaskog</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40889-2025</t>
        </is>
      </c>
      <c r="B166" t="inlineStr">
        <is>
          <t>avverkningsanmälan</t>
        </is>
      </c>
      <c r="C166" t="inlineStr">
        <is>
          <t>Föryngringsavverkning</t>
        </is>
      </c>
      <c r="D166" s="1" t="n">
        <v>45897</v>
      </c>
      <c r="E166" s="1" t="n">
        <v>46216</v>
      </c>
      <c r="F166" t="inlineStr">
        <is>
          <t>VÄSTRA GÖTALANDS LÄN</t>
        </is>
      </c>
      <c r="G166" t="inlineStr">
        <is>
          <t>TRANEMO</t>
        </is>
      </c>
      <c r="H166" t="inlineStr">
        <is>
          <t>Sveaskog</t>
        </is>
      </c>
      <c r="I166" t="n">
        <v>6.2</v>
      </c>
      <c r="J166" t="n">
        <v>0</v>
      </c>
      <c r="K166" t="n">
        <v>0</v>
      </c>
      <c r="L166" t="n">
        <v>0</v>
      </c>
      <c r="M166" t="n">
        <v>0</v>
      </c>
      <c r="N166" t="n">
        <v>0</v>
      </c>
      <c r="O166" t="n">
        <v>0</v>
      </c>
      <c r="P166" t="n">
        <v>0</v>
      </c>
      <c r="Q166" t="n">
        <v>0</v>
      </c>
      <c r="R166" t="n">
        <v>0</v>
      </c>
      <c r="S166" t="n">
        <v>0</v>
      </c>
      <c r="T166" t="n">
        <v>0</v>
      </c>
      <c r="U166" s="2" t="inlineStr"/>
    </row>
    <row r="167" ht="15" customHeight="1">
      <c r="A167" t="inlineStr">
        <is>
          <t>A 40890-2025</t>
        </is>
      </c>
      <c r="B167" t="inlineStr">
        <is>
          <t>avverkningsanmälan</t>
        </is>
      </c>
      <c r="C167" t="inlineStr">
        <is>
          <t>Föryngringsavverkning</t>
        </is>
      </c>
      <c r="D167" s="1" t="n">
        <v>45897</v>
      </c>
      <c r="E167" s="1" t="n">
        <v>46216</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s="2" t="inlineStr"/>
    </row>
    <row r="168" ht="15" customHeight="1">
      <c r="A168" t="inlineStr">
        <is>
          <t>A 35605-2022</t>
        </is>
      </c>
      <c r="B168" t="inlineStr">
        <is>
          <t>avverkningsanmälan</t>
        </is>
      </c>
      <c r="C168" t="inlineStr">
        <is>
          <t>Föryngringsavverkning</t>
        </is>
      </c>
      <c r="D168" s="1" t="n">
        <v>44799</v>
      </c>
      <c r="E168" s="1" t="n">
        <v>46216</v>
      </c>
      <c r="F168" t="inlineStr">
        <is>
          <t>VÄSTRA GÖTALANDS LÄN</t>
        </is>
      </c>
      <c r="G168" t="inlineStr">
        <is>
          <t>TRANEMO</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53098-2023</t>
        </is>
      </c>
      <c r="B169" t="inlineStr">
        <is>
          <t>avverkningsanmälan</t>
        </is>
      </c>
      <c r="C169" t="inlineStr">
        <is>
          <t>Föryngringsavverkning</t>
        </is>
      </c>
      <c r="D169" s="1" t="n">
        <v>45227</v>
      </c>
      <c r="E169" s="1" t="n">
        <v>46216</v>
      </c>
      <c r="F169" t="inlineStr">
        <is>
          <t>VÄSTRA GÖTALANDS LÄN</t>
        </is>
      </c>
      <c r="G169" t="inlineStr">
        <is>
          <t>TRANEMO</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70758-2021</t>
        </is>
      </c>
      <c r="B170" t="inlineStr">
        <is>
          <t>avverkningsanmälan</t>
        </is>
      </c>
      <c r="C170" t="inlineStr">
        <is>
          <t>Föryngringsavverkning</t>
        </is>
      </c>
      <c r="D170" s="1" t="n">
        <v>44537</v>
      </c>
      <c r="E170" s="1" t="n">
        <v>46216</v>
      </c>
      <c r="F170" t="inlineStr">
        <is>
          <t>VÄSTRA GÖTALANDS LÄN</t>
        </is>
      </c>
      <c r="G170" t="inlineStr">
        <is>
          <t>TRANEMO</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28885-2025</t>
        </is>
      </c>
      <c r="B171" t="inlineStr">
        <is>
          <t>avverkningsanmälan</t>
        </is>
      </c>
      <c r="C171" t="inlineStr">
        <is>
          <t>Föryngringsavverkning</t>
        </is>
      </c>
      <c r="D171" s="1" t="n">
        <v>45820</v>
      </c>
      <c r="E171" s="1" t="n">
        <v>46216</v>
      </c>
      <c r="F171" t="inlineStr">
        <is>
          <t>VÄSTRA GÖTALANDS LÄN</t>
        </is>
      </c>
      <c r="G171" t="inlineStr">
        <is>
          <t>TRANEMO</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28887-2025</t>
        </is>
      </c>
      <c r="B172" t="inlineStr">
        <is>
          <t>avverkningsanmälan</t>
        </is>
      </c>
      <c r="C172" t="inlineStr">
        <is>
          <t>Föryngringsavverkning</t>
        </is>
      </c>
      <c r="D172" s="1" t="n">
        <v>45820</v>
      </c>
      <c r="E172" s="1" t="n">
        <v>46216</v>
      </c>
      <c r="F172" t="inlineStr">
        <is>
          <t>VÄSTRA GÖTALANDS LÄN</t>
        </is>
      </c>
      <c r="G172" t="inlineStr">
        <is>
          <t>TRANEMO</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50858-2022</t>
        </is>
      </c>
      <c r="B173" t="inlineStr">
        <is>
          <t>avverkningsanmälan</t>
        </is>
      </c>
      <c r="C173" t="inlineStr">
        <is>
          <t>Föryngringsavverkning</t>
        </is>
      </c>
      <c r="D173" s="1" t="n">
        <v>44867</v>
      </c>
      <c r="E173" s="1" t="n">
        <v>46216</v>
      </c>
      <c r="F173" t="inlineStr">
        <is>
          <t>VÄSTRA GÖTALANDS LÄN</t>
        </is>
      </c>
      <c r="G173" t="inlineStr">
        <is>
          <t>TRANEMO</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14807-2025</t>
        </is>
      </c>
      <c r="B174" t="inlineStr">
        <is>
          <t>avverkningsanmälan</t>
        </is>
      </c>
      <c r="C174" t="inlineStr">
        <is>
          <t>Föryngringsavverkning</t>
        </is>
      </c>
      <c r="D174" s="1" t="n">
        <v>45743</v>
      </c>
      <c r="E174" s="1" t="n">
        <v>46216</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28691-2025</t>
        </is>
      </c>
      <c r="B175" t="inlineStr">
        <is>
          <t>avverkningsanmälan</t>
        </is>
      </c>
      <c r="C175" t="inlineStr">
        <is>
          <t>Föryngringsavverkning</t>
        </is>
      </c>
      <c r="D175" s="1" t="n">
        <v>45819</v>
      </c>
      <c r="E175" s="1" t="n">
        <v>46216</v>
      </c>
      <c r="F175" t="inlineStr">
        <is>
          <t>VÄSTRA GÖTALANDS LÄN</t>
        </is>
      </c>
      <c r="G175" t="inlineStr">
        <is>
          <t>TRANEMO</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16530-2025</t>
        </is>
      </c>
      <c r="B176" t="inlineStr">
        <is>
          <t>avverkningsanmälan</t>
        </is>
      </c>
      <c r="C176" t="inlineStr">
        <is>
          <t>Föryngringsavverkning</t>
        </is>
      </c>
      <c r="D176" s="1" t="n">
        <v>45751</v>
      </c>
      <c r="E176" s="1" t="n">
        <v>46216</v>
      </c>
      <c r="F176" t="inlineStr">
        <is>
          <t>VÄSTRA GÖTALANDS LÄN</t>
        </is>
      </c>
      <c r="G176" t="inlineStr">
        <is>
          <t>TRANEMO</t>
        </is>
      </c>
      <c r="H176" t="inlineStr">
        <is>
          <t>Sveaskog</t>
        </is>
      </c>
      <c r="I176" t="n">
        <v>2.7</v>
      </c>
      <c r="J176" t="n">
        <v>0</v>
      </c>
      <c r="K176" t="n">
        <v>0</v>
      </c>
      <c r="L176" t="n">
        <v>0</v>
      </c>
      <c r="M176" t="n">
        <v>0</v>
      </c>
      <c r="N176" t="n">
        <v>0</v>
      </c>
      <c r="O176" t="n">
        <v>0</v>
      </c>
      <c r="P176" t="n">
        <v>0</v>
      </c>
      <c r="Q176" t="n">
        <v>0</v>
      </c>
      <c r="R176" t="n">
        <v>0</v>
      </c>
      <c r="S176" t="n">
        <v>0</v>
      </c>
      <c r="T176" t="n">
        <v>0</v>
      </c>
      <c r="U176" s="2" t="inlineStr"/>
    </row>
    <row r="177" ht="15" customHeight="1">
      <c r="A177" t="inlineStr">
        <is>
          <t>A 10879-2025</t>
        </is>
      </c>
      <c r="B177" t="inlineStr">
        <is>
          <t>avverkningsanmälan</t>
        </is>
      </c>
      <c r="C177" t="inlineStr">
        <is>
          <t>Föryngringsavverkning</t>
        </is>
      </c>
      <c r="D177" s="1" t="n">
        <v>45722</v>
      </c>
      <c r="E177" s="1" t="n">
        <v>46216</v>
      </c>
      <c r="F177" t="inlineStr">
        <is>
          <t>VÄSTRA GÖTALANDS LÄN</t>
        </is>
      </c>
      <c r="G177" t="inlineStr">
        <is>
          <t>TRANEMO</t>
        </is>
      </c>
      <c r="I177" t="n">
        <v>4.5</v>
      </c>
      <c r="J177" t="n">
        <v>0</v>
      </c>
      <c r="K177" t="n">
        <v>0</v>
      </c>
      <c r="L177" t="n">
        <v>0</v>
      </c>
      <c r="M177" t="n">
        <v>0</v>
      </c>
      <c r="N177" t="n">
        <v>0</v>
      </c>
      <c r="O177" t="n">
        <v>0</v>
      </c>
      <c r="P177" t="n">
        <v>0</v>
      </c>
      <c r="Q177" t="n">
        <v>0</v>
      </c>
      <c r="R177" t="n">
        <v>0</v>
      </c>
      <c r="S177" t="n">
        <v>0</v>
      </c>
      <c r="T177" t="n">
        <v>0</v>
      </c>
      <c r="U177" s="2" t="inlineStr"/>
    </row>
    <row r="178" ht="15" customHeight="1">
      <c r="A178" t="inlineStr">
        <is>
          <t>A 13950-2025</t>
        </is>
      </c>
      <c r="B178" t="inlineStr">
        <is>
          <t>avverkningsanmälan</t>
        </is>
      </c>
      <c r="C178" t="inlineStr">
        <is>
          <t>Föryngringsavverkning</t>
        </is>
      </c>
      <c r="D178" s="1" t="n">
        <v>45737</v>
      </c>
      <c r="E178" s="1" t="n">
        <v>46216</v>
      </c>
      <c r="F178" t="inlineStr">
        <is>
          <t>VÄSTRA GÖTALANDS LÄN</t>
        </is>
      </c>
      <c r="G178" t="inlineStr">
        <is>
          <t>TRANEMO</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14009-2025</t>
        </is>
      </c>
      <c r="B179" t="inlineStr">
        <is>
          <t>avverkningsanmälan</t>
        </is>
      </c>
      <c r="C179" t="inlineStr">
        <is>
          <t>Föryngringsavverkning</t>
        </is>
      </c>
      <c r="D179" s="1" t="n">
        <v>45740</v>
      </c>
      <c r="E179" s="1" t="n">
        <v>46216</v>
      </c>
      <c r="F179" t="inlineStr">
        <is>
          <t>VÄSTRA GÖTALANDS LÄN</t>
        </is>
      </c>
      <c r="G179" t="inlineStr">
        <is>
          <t>TRANEMO</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18639-2025</t>
        </is>
      </c>
      <c r="B180" t="inlineStr">
        <is>
          <t>avverkningsanmälan</t>
        </is>
      </c>
      <c r="C180" t="inlineStr">
        <is>
          <t>Föryngringsavverkning</t>
        </is>
      </c>
      <c r="D180" s="1" t="n">
        <v>45763</v>
      </c>
      <c r="E180" s="1" t="n">
        <v>46216</v>
      </c>
      <c r="F180" t="inlineStr">
        <is>
          <t>VÄSTRA GÖTALANDS LÄN</t>
        </is>
      </c>
      <c r="G180" t="inlineStr">
        <is>
          <t>TRANEMO</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37059-2023</t>
        </is>
      </c>
      <c r="B181" t="inlineStr">
        <is>
          <t>avverkningsanmälan</t>
        </is>
      </c>
      <c r="C181" t="inlineStr">
        <is>
          <t>Föryngringsavverkning</t>
        </is>
      </c>
      <c r="D181" s="1" t="n">
        <v>45155</v>
      </c>
      <c r="E181" s="1" t="n">
        <v>46216</v>
      </c>
      <c r="F181" t="inlineStr">
        <is>
          <t>VÄSTRA GÖTALANDS LÄN</t>
        </is>
      </c>
      <c r="G181" t="inlineStr">
        <is>
          <t>TRANEMO</t>
        </is>
      </c>
      <c r="I181" t="n">
        <v>3.3</v>
      </c>
      <c r="J181" t="n">
        <v>0</v>
      </c>
      <c r="K181" t="n">
        <v>0</v>
      </c>
      <c r="L181" t="n">
        <v>0</v>
      </c>
      <c r="M181" t="n">
        <v>0</v>
      </c>
      <c r="N181" t="n">
        <v>0</v>
      </c>
      <c r="O181" t="n">
        <v>0</v>
      </c>
      <c r="P181" t="n">
        <v>0</v>
      </c>
      <c r="Q181" t="n">
        <v>0</v>
      </c>
      <c r="R181" t="n">
        <v>0</v>
      </c>
      <c r="S181" t="n">
        <v>0</v>
      </c>
      <c r="T181" t="n">
        <v>0</v>
      </c>
      <c r="U181" s="2" t="inlineStr"/>
    </row>
    <row r="182" ht="15" customHeight="1">
      <c r="A182" t="inlineStr">
        <is>
          <t>A 15324-2025</t>
        </is>
      </c>
      <c r="B182" t="inlineStr">
        <is>
          <t>avverkningsanmälan</t>
        </is>
      </c>
      <c r="C182" t="inlineStr">
        <is>
          <t>Föryngringsavverkning</t>
        </is>
      </c>
      <c r="D182" s="1" t="n">
        <v>45747</v>
      </c>
      <c r="E182" s="1" t="n">
        <v>46216</v>
      </c>
      <c r="F182" t="inlineStr">
        <is>
          <t>VÄSTRA GÖTALANDS LÄN</t>
        </is>
      </c>
      <c r="G182" t="inlineStr">
        <is>
          <t>TRANEMO</t>
        </is>
      </c>
      <c r="I182" t="n">
        <v>2.8</v>
      </c>
      <c r="J182" t="n">
        <v>0</v>
      </c>
      <c r="K182" t="n">
        <v>0</v>
      </c>
      <c r="L182" t="n">
        <v>0</v>
      </c>
      <c r="M182" t="n">
        <v>0</v>
      </c>
      <c r="N182" t="n">
        <v>0</v>
      </c>
      <c r="O182" t="n">
        <v>0</v>
      </c>
      <c r="P182" t="n">
        <v>0</v>
      </c>
      <c r="Q182" t="n">
        <v>0</v>
      </c>
      <c r="R182" t="n">
        <v>0</v>
      </c>
      <c r="S182" t="n">
        <v>0</v>
      </c>
      <c r="T182" t="n">
        <v>0</v>
      </c>
      <c r="U182" s="2" t="inlineStr"/>
    </row>
    <row r="183" ht="15" customHeight="1">
      <c r="A183" t="inlineStr">
        <is>
          <t>A 14006-2025</t>
        </is>
      </c>
      <c r="B183" t="inlineStr">
        <is>
          <t>avverkningsanmälan</t>
        </is>
      </c>
      <c r="C183" t="inlineStr">
        <is>
          <t>Föryngringsavverkning</t>
        </is>
      </c>
      <c r="D183" s="1" t="n">
        <v>45740</v>
      </c>
      <c r="E183" s="1" t="n">
        <v>46216</v>
      </c>
      <c r="F183" t="inlineStr">
        <is>
          <t>VÄSTRA GÖTALANDS LÄN</t>
        </is>
      </c>
      <c r="G183" t="inlineStr">
        <is>
          <t>TRANEMO</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51612-2023</t>
        </is>
      </c>
      <c r="B184" t="inlineStr">
        <is>
          <t>avverkningsanmälan</t>
        </is>
      </c>
      <c r="C184" t="inlineStr">
        <is>
          <t>Föryngringsavverkning</t>
        </is>
      </c>
      <c r="D184" s="1" t="n">
        <v>45222</v>
      </c>
      <c r="E184" s="1" t="n">
        <v>46216</v>
      </c>
      <c r="F184" t="inlineStr">
        <is>
          <t>VÄSTRA GÖTALANDS LÄN</t>
        </is>
      </c>
      <c r="G184" t="inlineStr">
        <is>
          <t>TRANEMO</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3296-2024</t>
        </is>
      </c>
      <c r="B185" t="inlineStr">
        <is>
          <t>avverkningsanmälan</t>
        </is>
      </c>
      <c r="C185" t="inlineStr">
        <is>
          <t>Föryngringsavverkning</t>
        </is>
      </c>
      <c r="D185" s="1" t="n">
        <v>45317</v>
      </c>
      <c r="E185" s="1" t="n">
        <v>46216</v>
      </c>
      <c r="F185" t="inlineStr">
        <is>
          <t>VÄSTRA GÖTALANDS LÄN</t>
        </is>
      </c>
      <c r="G185" t="inlineStr">
        <is>
          <t>TRANEMO</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9601-2023</t>
        </is>
      </c>
      <c r="B186" t="inlineStr">
        <is>
          <t>avverkningsanmälan</t>
        </is>
      </c>
      <c r="C186" t="inlineStr">
        <is>
          <t>Föryngringsavverkning</t>
        </is>
      </c>
      <c r="D186" s="1" t="n">
        <v>44983</v>
      </c>
      <c r="E186" s="1" t="n">
        <v>46216</v>
      </c>
      <c r="F186" t="inlineStr">
        <is>
          <t>VÄSTRA GÖTALANDS LÄN</t>
        </is>
      </c>
      <c r="G186" t="inlineStr">
        <is>
          <t>TRANEMO</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30832-2025</t>
        </is>
      </c>
      <c r="B187" t="inlineStr">
        <is>
          <t>avverkningsanmälan</t>
        </is>
      </c>
      <c r="C187" t="inlineStr">
        <is>
          <t>Föryngringsavverkning</t>
        </is>
      </c>
      <c r="D187" s="1" t="n">
        <v>45831</v>
      </c>
      <c r="E187" s="1" t="n">
        <v>46216</v>
      </c>
      <c r="F187" t="inlineStr">
        <is>
          <t>VÄSTRA GÖTALANDS LÄN</t>
        </is>
      </c>
      <c r="G187" t="inlineStr">
        <is>
          <t>TRANEMO</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18641-2025</t>
        </is>
      </c>
      <c r="B188" t="inlineStr">
        <is>
          <t>avverkningsanmälan</t>
        </is>
      </c>
      <c r="C188" t="inlineStr">
        <is>
          <t>Föryngringsavverkning</t>
        </is>
      </c>
      <c r="D188" s="1" t="n">
        <v>45763</v>
      </c>
      <c r="E188" s="1" t="n">
        <v>46216</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28034-2023</t>
        </is>
      </c>
      <c r="B189" t="inlineStr">
        <is>
          <t>avverkningsanmälan</t>
        </is>
      </c>
      <c r="C189" t="inlineStr">
        <is>
          <t>Föryngringsavverkning</t>
        </is>
      </c>
      <c r="D189" s="1" t="n">
        <v>45099</v>
      </c>
      <c r="E189" s="1" t="n">
        <v>46216</v>
      </c>
      <c r="F189" t="inlineStr">
        <is>
          <t>VÄSTRA GÖTALANDS LÄN</t>
        </is>
      </c>
      <c r="G189" t="inlineStr">
        <is>
          <t>TRANEMO</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42651-2025</t>
        </is>
      </c>
      <c r="B190" t="inlineStr">
        <is>
          <t>avverkningsanmälan</t>
        </is>
      </c>
      <c r="C190" t="inlineStr">
        <is>
          <t>Föryngringsavverkning</t>
        </is>
      </c>
      <c r="D190" s="1" t="n">
        <v>45906</v>
      </c>
      <c r="E190" s="1" t="n">
        <v>46216</v>
      </c>
      <c r="F190" t="inlineStr">
        <is>
          <t>VÄSTRA GÖTALANDS LÄN</t>
        </is>
      </c>
      <c r="G190" t="inlineStr">
        <is>
          <t>TRANEMO</t>
        </is>
      </c>
      <c r="H190" t="inlineStr">
        <is>
          <t>Kyrkan</t>
        </is>
      </c>
      <c r="I190" t="n">
        <v>1.8</v>
      </c>
      <c r="J190" t="n">
        <v>0</v>
      </c>
      <c r="K190" t="n">
        <v>0</v>
      </c>
      <c r="L190" t="n">
        <v>0</v>
      </c>
      <c r="M190" t="n">
        <v>0</v>
      </c>
      <c r="N190" t="n">
        <v>0</v>
      </c>
      <c r="O190" t="n">
        <v>0</v>
      </c>
      <c r="P190" t="n">
        <v>0</v>
      </c>
      <c r="Q190" t="n">
        <v>0</v>
      </c>
      <c r="R190" t="n">
        <v>0</v>
      </c>
      <c r="S190" t="n">
        <v>0</v>
      </c>
      <c r="T190" t="n">
        <v>0</v>
      </c>
      <c r="U190" s="2" t="inlineStr"/>
    </row>
    <row r="191" ht="15" customHeight="1">
      <c r="A191" t="inlineStr">
        <is>
          <t>A 38016-2024</t>
        </is>
      </c>
      <c r="B191" t="inlineStr">
        <is>
          <t>avverkningsanmälan</t>
        </is>
      </c>
      <c r="C191" t="inlineStr">
        <is>
          <t>Föryngringsavverkning</t>
        </is>
      </c>
      <c r="D191" s="1" t="n">
        <v>45544</v>
      </c>
      <c r="E191" s="1" t="n">
        <v>46216</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31128-2025</t>
        </is>
      </c>
      <c r="B192" t="inlineStr">
        <is>
          <t>avverkningsanmälan</t>
        </is>
      </c>
      <c r="C192" t="inlineStr">
        <is>
          <t>Föryngringsavverkning</t>
        </is>
      </c>
      <c r="D192" s="1" t="n">
        <v>45832</v>
      </c>
      <c r="E192" s="1" t="n">
        <v>46216</v>
      </c>
      <c r="F192" t="inlineStr">
        <is>
          <t>VÄSTRA GÖTALANDS LÄN</t>
        </is>
      </c>
      <c r="G192" t="inlineStr">
        <is>
          <t>TRANEMO</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26724-2025</t>
        </is>
      </c>
      <c r="B193" t="inlineStr">
        <is>
          <t>avverkningsanmälan</t>
        </is>
      </c>
      <c r="C193" t="inlineStr">
        <is>
          <t>Föryngringsavverkning</t>
        </is>
      </c>
      <c r="D193" s="1" t="n">
        <v>45810</v>
      </c>
      <c r="E193" s="1" t="n">
        <v>46216</v>
      </c>
      <c r="F193" t="inlineStr">
        <is>
          <t>VÄSTRA GÖTALANDS LÄN</t>
        </is>
      </c>
      <c r="G193" t="inlineStr">
        <is>
          <t>TRANEMO</t>
        </is>
      </c>
      <c r="H193" t="inlineStr">
        <is>
          <t>Kyrkan</t>
        </is>
      </c>
      <c r="I193" t="n">
        <v>3.2</v>
      </c>
      <c r="J193" t="n">
        <v>0</v>
      </c>
      <c r="K193" t="n">
        <v>0</v>
      </c>
      <c r="L193" t="n">
        <v>0</v>
      </c>
      <c r="M193" t="n">
        <v>0</v>
      </c>
      <c r="N193" t="n">
        <v>0</v>
      </c>
      <c r="O193" t="n">
        <v>0</v>
      </c>
      <c r="P193" t="n">
        <v>0</v>
      </c>
      <c r="Q193" t="n">
        <v>0</v>
      </c>
      <c r="R193" t="n">
        <v>0</v>
      </c>
      <c r="S193" t="n">
        <v>0</v>
      </c>
      <c r="T193" t="n">
        <v>0</v>
      </c>
      <c r="U193" s="2" t="inlineStr"/>
    </row>
    <row r="194" ht="15" customHeight="1">
      <c r="A194" t="inlineStr">
        <is>
          <t>A 43654-2025</t>
        </is>
      </c>
      <c r="B194" t="inlineStr">
        <is>
          <t>avverkningsanmälan</t>
        </is>
      </c>
      <c r="C194" t="inlineStr">
        <is>
          <t>Föryngringsavverkning</t>
        </is>
      </c>
      <c r="D194" s="1" t="n">
        <v>45912</v>
      </c>
      <c r="E194" s="1" t="n">
        <v>46216</v>
      </c>
      <c r="F194" t="inlineStr">
        <is>
          <t>VÄSTRA GÖTALANDS LÄN</t>
        </is>
      </c>
      <c r="G194" t="inlineStr">
        <is>
          <t>TRANEMO</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4703-2024</t>
        </is>
      </c>
      <c r="B195" t="inlineStr">
        <is>
          <t>avverkningsanmälan</t>
        </is>
      </c>
      <c r="C195" t="inlineStr">
        <is>
          <t>Föryngringsavverkning</t>
        </is>
      </c>
      <c r="D195" s="1" t="n">
        <v>45328</v>
      </c>
      <c r="E195" s="1" t="n">
        <v>46216</v>
      </c>
      <c r="F195" t="inlineStr">
        <is>
          <t>VÄSTRA GÖTALANDS LÄN</t>
        </is>
      </c>
      <c r="G195" t="inlineStr">
        <is>
          <t>TRANEMO</t>
        </is>
      </c>
      <c r="H195" t="inlineStr">
        <is>
          <t>Sveaskog</t>
        </is>
      </c>
      <c r="I195" t="n">
        <v>2.9</v>
      </c>
      <c r="J195" t="n">
        <v>0</v>
      </c>
      <c r="K195" t="n">
        <v>0</v>
      </c>
      <c r="L195" t="n">
        <v>0</v>
      </c>
      <c r="M195" t="n">
        <v>0</v>
      </c>
      <c r="N195" t="n">
        <v>0</v>
      </c>
      <c r="O195" t="n">
        <v>0</v>
      </c>
      <c r="P195" t="n">
        <v>0</v>
      </c>
      <c r="Q195" t="n">
        <v>0</v>
      </c>
      <c r="R195" t="n">
        <v>0</v>
      </c>
      <c r="S195" t="n">
        <v>0</v>
      </c>
      <c r="T195" t="n">
        <v>0</v>
      </c>
      <c r="U195" s="2" t="inlineStr"/>
    </row>
    <row r="196" ht="15" customHeight="1">
      <c r="A196" t="inlineStr">
        <is>
          <t>A 4706-2024</t>
        </is>
      </c>
      <c r="B196" t="inlineStr">
        <is>
          <t>avverkningsanmälan</t>
        </is>
      </c>
      <c r="C196" t="inlineStr">
        <is>
          <t>Föryngringsavverkning</t>
        </is>
      </c>
      <c r="D196" s="1" t="n">
        <v>45328</v>
      </c>
      <c r="E196" s="1" t="n">
        <v>46216</v>
      </c>
      <c r="F196" t="inlineStr">
        <is>
          <t>VÄSTRA GÖTALANDS LÄN</t>
        </is>
      </c>
      <c r="G196" t="inlineStr">
        <is>
          <t>TRANEMO</t>
        </is>
      </c>
      <c r="H196" t="inlineStr">
        <is>
          <t>Sveaskog</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44537-2025</t>
        </is>
      </c>
      <c r="B197" t="inlineStr">
        <is>
          <t>avverkningsanmälan</t>
        </is>
      </c>
      <c r="C197" t="inlineStr">
        <is>
          <t>Föryngringsavverkning</t>
        </is>
      </c>
      <c r="D197" s="1" t="n">
        <v>45917</v>
      </c>
      <c r="E197" s="1" t="n">
        <v>46216</v>
      </c>
      <c r="F197" t="inlineStr">
        <is>
          <t>VÄSTRA GÖTALANDS LÄN</t>
        </is>
      </c>
      <c r="G197" t="inlineStr">
        <is>
          <t>TRANEMO</t>
        </is>
      </c>
      <c r="I197" t="n">
        <v>2.1</v>
      </c>
      <c r="J197" t="n">
        <v>0</v>
      </c>
      <c r="K197" t="n">
        <v>0</v>
      </c>
      <c r="L197" t="n">
        <v>0</v>
      </c>
      <c r="M197" t="n">
        <v>0</v>
      </c>
      <c r="N197" t="n">
        <v>0</v>
      </c>
      <c r="O197" t="n">
        <v>0</v>
      </c>
      <c r="P197" t="n">
        <v>0</v>
      </c>
      <c r="Q197" t="n">
        <v>0</v>
      </c>
      <c r="R197" t="n">
        <v>0</v>
      </c>
      <c r="S197" t="n">
        <v>0</v>
      </c>
      <c r="T197" t="n">
        <v>0</v>
      </c>
      <c r="U197" s="2" t="inlineStr"/>
    </row>
    <row r="198" ht="15" customHeight="1">
      <c r="A198" t="inlineStr">
        <is>
          <t>A 44755-2025</t>
        </is>
      </c>
      <c r="B198" t="inlineStr">
        <is>
          <t>avverkningsanmälan</t>
        </is>
      </c>
      <c r="C198" t="inlineStr">
        <is>
          <t>Föryngringsavverkning</t>
        </is>
      </c>
      <c r="D198" s="1" t="n">
        <v>45917</v>
      </c>
      <c r="E198" s="1" t="n">
        <v>46216</v>
      </c>
      <c r="F198" t="inlineStr">
        <is>
          <t>VÄSTRA GÖTALANDS LÄN</t>
        </is>
      </c>
      <c r="G198" t="inlineStr">
        <is>
          <t>TRANEMO</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42118-2023</t>
        </is>
      </c>
      <c r="B199" t="inlineStr">
        <is>
          <t>avverkningsanmälan</t>
        </is>
      </c>
      <c r="C199" t="inlineStr">
        <is>
          <t>Avverkning för annat ändamål</t>
        </is>
      </c>
      <c r="D199" s="1" t="n">
        <v>45174</v>
      </c>
      <c r="E199" s="1" t="n">
        <v>46216</v>
      </c>
      <c r="F199" t="inlineStr">
        <is>
          <t>VÄSTRA GÖTALANDS LÄN</t>
        </is>
      </c>
      <c r="G199" t="inlineStr">
        <is>
          <t>TRANEMO</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3251-2022</t>
        </is>
      </c>
      <c r="B200" t="inlineStr">
        <is>
          <t>avverkningsanmälan</t>
        </is>
      </c>
      <c r="C200" t="inlineStr">
        <is>
          <t>Föryngringsavverkning</t>
        </is>
      </c>
      <c r="D200" s="1" t="n">
        <v>44583</v>
      </c>
      <c r="E200" s="1" t="n">
        <v>46216</v>
      </c>
      <c r="F200" t="inlineStr">
        <is>
          <t>VÄSTRA GÖTALANDS LÄN</t>
        </is>
      </c>
      <c r="G200" t="inlineStr">
        <is>
          <t>TRANEMO</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44997-2025</t>
        </is>
      </c>
      <c r="B201" t="inlineStr">
        <is>
          <t>avverkningsanmälan</t>
        </is>
      </c>
      <c r="C201" t="inlineStr">
        <is>
          <t>Föryngringsavverkning</t>
        </is>
      </c>
      <c r="D201" s="1" t="n">
        <v>45918</v>
      </c>
      <c r="E201" s="1" t="n">
        <v>46216</v>
      </c>
      <c r="F201" t="inlineStr">
        <is>
          <t>VÄSTRA GÖTALANDS LÄN</t>
        </is>
      </c>
      <c r="G201" t="inlineStr">
        <is>
          <t>TRANEMO</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33745-2025</t>
        </is>
      </c>
      <c r="B202" t="inlineStr">
        <is>
          <t>avverkningsanmälan</t>
        </is>
      </c>
      <c r="C202" t="inlineStr">
        <is>
          <t>Föryngringsavverkning</t>
        </is>
      </c>
      <c r="D202" s="1" t="n">
        <v>45842</v>
      </c>
      <c r="E202" s="1" t="n">
        <v>46216</v>
      </c>
      <c r="F202" t="inlineStr">
        <is>
          <t>VÄSTRA GÖTALANDS LÄN</t>
        </is>
      </c>
      <c r="G202" t="inlineStr">
        <is>
          <t>TRANEMO</t>
        </is>
      </c>
      <c r="I202" t="n">
        <v>6.9</v>
      </c>
      <c r="J202" t="n">
        <v>0</v>
      </c>
      <c r="K202" t="n">
        <v>0</v>
      </c>
      <c r="L202" t="n">
        <v>0</v>
      </c>
      <c r="M202" t="n">
        <v>0</v>
      </c>
      <c r="N202" t="n">
        <v>0</v>
      </c>
      <c r="O202" t="n">
        <v>0</v>
      </c>
      <c r="P202" t="n">
        <v>0</v>
      </c>
      <c r="Q202" t="n">
        <v>0</v>
      </c>
      <c r="R202" t="n">
        <v>0</v>
      </c>
      <c r="S202" t="n">
        <v>0</v>
      </c>
      <c r="T202" t="n">
        <v>0</v>
      </c>
      <c r="U202" s="2" t="inlineStr"/>
    </row>
    <row r="203" ht="15" customHeight="1">
      <c r="A203" t="inlineStr">
        <is>
          <t>A 45513-2025</t>
        </is>
      </c>
      <c r="B203" t="inlineStr">
        <is>
          <t>avverkningsanmälan</t>
        </is>
      </c>
      <c r="C203" t="inlineStr">
        <is>
          <t>Föryngringsavverkning</t>
        </is>
      </c>
      <c r="D203" s="1" t="n">
        <v>45922</v>
      </c>
      <c r="E203" s="1" t="n">
        <v>46216</v>
      </c>
      <c r="F203" t="inlineStr">
        <is>
          <t>VÄSTRA GÖTALANDS LÄN</t>
        </is>
      </c>
      <c r="G203" t="inlineStr">
        <is>
          <t>TRANEMO</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45502-2025</t>
        </is>
      </c>
      <c r="B204" t="inlineStr">
        <is>
          <t>avverkningsanmälan</t>
        </is>
      </c>
      <c r="C204" t="inlineStr">
        <is>
          <t>Föryngringsavverkning</t>
        </is>
      </c>
      <c r="D204" s="1" t="n">
        <v>45922</v>
      </c>
      <c r="E204" s="1" t="n">
        <v>46216</v>
      </c>
      <c r="F204" t="inlineStr">
        <is>
          <t>VÄSTRA GÖTALANDS LÄN</t>
        </is>
      </c>
      <c r="G204" t="inlineStr">
        <is>
          <t>TRANEMO</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45530-2025</t>
        </is>
      </c>
      <c r="B205" t="inlineStr">
        <is>
          <t>avverkningsanmälan</t>
        </is>
      </c>
      <c r="C205" t="inlineStr">
        <is>
          <t>Föryngringsavverkning</t>
        </is>
      </c>
      <c r="D205" s="1" t="n">
        <v>45922</v>
      </c>
      <c r="E205" s="1" t="n">
        <v>46216</v>
      </c>
      <c r="F205" t="inlineStr">
        <is>
          <t>VÄSTRA GÖTALANDS LÄN</t>
        </is>
      </c>
      <c r="G205" t="inlineStr">
        <is>
          <t>TRANEMO</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15335-2025</t>
        </is>
      </c>
      <c r="B206" t="inlineStr">
        <is>
          <t>avverkningsanmälan</t>
        </is>
      </c>
      <c r="C206" t="inlineStr">
        <is>
          <t>Föryngringsavverkning</t>
        </is>
      </c>
      <c r="D206" s="1" t="n">
        <v>45747</v>
      </c>
      <c r="E206" s="1" t="n">
        <v>46216</v>
      </c>
      <c r="F206" t="inlineStr">
        <is>
          <t>VÄSTRA GÖTALANDS LÄN</t>
        </is>
      </c>
      <c r="G206" t="inlineStr">
        <is>
          <t>TRANEMO</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15366-2025</t>
        </is>
      </c>
      <c r="B207" t="inlineStr">
        <is>
          <t>avverkningsanmälan</t>
        </is>
      </c>
      <c r="C207" t="inlineStr">
        <is>
          <t>Föryngringsavverkning</t>
        </is>
      </c>
      <c r="D207" s="1" t="n">
        <v>45747</v>
      </c>
      <c r="E207" s="1" t="n">
        <v>46216</v>
      </c>
      <c r="F207" t="inlineStr">
        <is>
          <t>VÄSTRA GÖTALANDS LÄN</t>
        </is>
      </c>
      <c r="G207" t="inlineStr">
        <is>
          <t>TRANEMO</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30909-2025</t>
        </is>
      </c>
      <c r="B208" t="inlineStr">
        <is>
          <t>avverkningsanmälan</t>
        </is>
      </c>
      <c r="C208" t="inlineStr">
        <is>
          <t>Föryngringsavverkning</t>
        </is>
      </c>
      <c r="D208" s="1" t="n">
        <v>45832</v>
      </c>
      <c r="E208" s="1" t="n">
        <v>46216</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29385-2025</t>
        </is>
      </c>
      <c r="B209" t="inlineStr">
        <is>
          <t>avverkningsanmälan</t>
        </is>
      </c>
      <c r="C209" t="inlineStr">
        <is>
          <t>Föryngringsavverkning</t>
        </is>
      </c>
      <c r="D209" s="1" t="n">
        <v>45824</v>
      </c>
      <c r="E209" s="1" t="n">
        <v>46216</v>
      </c>
      <c r="F209" t="inlineStr">
        <is>
          <t>VÄSTRA GÖTALANDS LÄN</t>
        </is>
      </c>
      <c r="G209" t="inlineStr">
        <is>
          <t>TRANEMO</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45525-2025</t>
        </is>
      </c>
      <c r="B210" t="inlineStr">
        <is>
          <t>avverkningsanmälan</t>
        </is>
      </c>
      <c r="C210" t="inlineStr">
        <is>
          <t>Föryngringsavverkning</t>
        </is>
      </c>
      <c r="D210" s="1" t="n">
        <v>45922</v>
      </c>
      <c r="E210" s="1" t="n">
        <v>46216</v>
      </c>
      <c r="F210" t="inlineStr">
        <is>
          <t>VÄSTRA GÖTALANDS LÄN</t>
        </is>
      </c>
      <c r="G210" t="inlineStr">
        <is>
          <t>TRANEMO</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12985-2025</t>
        </is>
      </c>
      <c r="B211" t="inlineStr">
        <is>
          <t>avverkningsanmälan</t>
        </is>
      </c>
      <c r="C211" t="inlineStr">
        <is>
          <t>Föryngringsavverkning</t>
        </is>
      </c>
      <c r="D211" s="1" t="n">
        <v>45734</v>
      </c>
      <c r="E211" s="1" t="n">
        <v>46216</v>
      </c>
      <c r="F211" t="inlineStr">
        <is>
          <t>VÄSTRA GÖTALANDS LÄN</t>
        </is>
      </c>
      <c r="G211" t="inlineStr">
        <is>
          <t>TRANEMO</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27582-2025</t>
        </is>
      </c>
      <c r="B212" t="inlineStr">
        <is>
          <t>avverkningsanmälan</t>
        </is>
      </c>
      <c r="C212" t="inlineStr">
        <is>
          <t>Föryngringsavverkning</t>
        </is>
      </c>
      <c r="D212" s="1" t="n">
        <v>45813</v>
      </c>
      <c r="E212" s="1" t="n">
        <v>46216</v>
      </c>
      <c r="F212" t="inlineStr">
        <is>
          <t>VÄSTRA GÖTALANDS LÄN</t>
        </is>
      </c>
      <c r="G212" t="inlineStr">
        <is>
          <t>TRANEMO</t>
        </is>
      </c>
      <c r="I212" t="n">
        <v>5.1</v>
      </c>
      <c r="J212" t="n">
        <v>0</v>
      </c>
      <c r="K212" t="n">
        <v>0</v>
      </c>
      <c r="L212" t="n">
        <v>0</v>
      </c>
      <c r="M212" t="n">
        <v>0</v>
      </c>
      <c r="N212" t="n">
        <v>0</v>
      </c>
      <c r="O212" t="n">
        <v>0</v>
      </c>
      <c r="P212" t="n">
        <v>0</v>
      </c>
      <c r="Q212" t="n">
        <v>0</v>
      </c>
      <c r="R212" t="n">
        <v>0</v>
      </c>
      <c r="S212" t="n">
        <v>0</v>
      </c>
      <c r="T212" t="n">
        <v>0</v>
      </c>
      <c r="U212" s="2" t="inlineStr"/>
    </row>
    <row r="213" ht="15" customHeight="1">
      <c r="A213" t="inlineStr">
        <is>
          <t>A 42680-2024</t>
        </is>
      </c>
      <c r="B213" t="inlineStr">
        <is>
          <t>avverkningsanmälan</t>
        </is>
      </c>
      <c r="C213" t="inlineStr">
        <is>
          <t>Föryngringsavverkning</t>
        </is>
      </c>
      <c r="D213" s="1" t="n">
        <v>45566</v>
      </c>
      <c r="E213" s="1" t="n">
        <v>46216</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27166-2023</t>
        </is>
      </c>
      <c r="B214" t="inlineStr">
        <is>
          <t>avverkningsanmälan</t>
        </is>
      </c>
      <c r="C214" t="inlineStr">
        <is>
          <t>Föryngringsavverkning</t>
        </is>
      </c>
      <c r="D214" s="1" t="n">
        <v>45096</v>
      </c>
      <c r="E214" s="1" t="n">
        <v>46216</v>
      </c>
      <c r="F214" t="inlineStr">
        <is>
          <t>VÄSTRA GÖTALANDS LÄN</t>
        </is>
      </c>
      <c r="G214" t="inlineStr">
        <is>
          <t>TRANEMO</t>
        </is>
      </c>
      <c r="I214" t="n">
        <v>0.4</v>
      </c>
      <c r="J214" t="n">
        <v>0</v>
      </c>
      <c r="K214" t="n">
        <v>0</v>
      </c>
      <c r="L214" t="n">
        <v>0</v>
      </c>
      <c r="M214" t="n">
        <v>0</v>
      </c>
      <c r="N214" t="n">
        <v>0</v>
      </c>
      <c r="O214" t="n">
        <v>0</v>
      </c>
      <c r="P214" t="n">
        <v>0</v>
      </c>
      <c r="Q214" t="n">
        <v>0</v>
      </c>
      <c r="R214" t="n">
        <v>0</v>
      </c>
      <c r="S214" t="n">
        <v>0</v>
      </c>
      <c r="T214" t="n">
        <v>0</v>
      </c>
      <c r="U214" s="2" t="inlineStr"/>
    </row>
    <row r="215" ht="15" customHeight="1">
      <c r="A215" t="inlineStr">
        <is>
          <t>A 34650-2025</t>
        </is>
      </c>
      <c r="B215" t="inlineStr">
        <is>
          <t>avverkningsanmälan</t>
        </is>
      </c>
      <c r="C215" t="inlineStr">
        <is>
          <t>Föryngringsavverkning</t>
        </is>
      </c>
      <c r="D215" s="1" t="n">
        <v>45848</v>
      </c>
      <c r="E215" s="1" t="n">
        <v>46216</v>
      </c>
      <c r="F215" t="inlineStr">
        <is>
          <t>VÄSTRA GÖTALANDS LÄN</t>
        </is>
      </c>
      <c r="G215" t="inlineStr">
        <is>
          <t>TRANEMO</t>
        </is>
      </c>
      <c r="I215" t="n">
        <v>4.6</v>
      </c>
      <c r="J215" t="n">
        <v>0</v>
      </c>
      <c r="K215" t="n">
        <v>0</v>
      </c>
      <c r="L215" t="n">
        <v>0</v>
      </c>
      <c r="M215" t="n">
        <v>0</v>
      </c>
      <c r="N215" t="n">
        <v>0</v>
      </c>
      <c r="O215" t="n">
        <v>0</v>
      </c>
      <c r="P215" t="n">
        <v>0</v>
      </c>
      <c r="Q215" t="n">
        <v>0</v>
      </c>
      <c r="R215" t="n">
        <v>0</v>
      </c>
      <c r="S215" t="n">
        <v>0</v>
      </c>
      <c r="T215" t="n">
        <v>0</v>
      </c>
      <c r="U215" s="2" t="inlineStr"/>
    </row>
    <row r="216" ht="15" customHeight="1">
      <c r="A216" t="inlineStr">
        <is>
          <t>A 49311-2021</t>
        </is>
      </c>
      <c r="B216" t="inlineStr">
        <is>
          <t>avverkningsanmälan</t>
        </is>
      </c>
      <c r="C216" t="inlineStr">
        <is>
          <t>Föryngringsavverkning</t>
        </is>
      </c>
      <c r="D216" s="1" t="n">
        <v>44454</v>
      </c>
      <c r="E216" s="1" t="n">
        <v>46216</v>
      </c>
      <c r="F216" t="inlineStr">
        <is>
          <t>VÄSTRA GÖTALANDS LÄN</t>
        </is>
      </c>
      <c r="G216" t="inlineStr">
        <is>
          <t>TRANEMO</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48262-2025</t>
        </is>
      </c>
      <c r="B217" t="inlineStr">
        <is>
          <t>avverkningsanmälan</t>
        </is>
      </c>
      <c r="C217" t="inlineStr">
        <is>
          <t>Föryngringsavverkning</t>
        </is>
      </c>
      <c r="D217" s="1" t="n">
        <v>45933</v>
      </c>
      <c r="E217" s="1" t="n">
        <v>46216</v>
      </c>
      <c r="F217" t="inlineStr">
        <is>
          <t>VÄSTRA GÖTALANDS LÄN</t>
        </is>
      </c>
      <c r="G217" t="inlineStr">
        <is>
          <t>TRANEMO</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48227-2025</t>
        </is>
      </c>
      <c r="B218" t="inlineStr">
        <is>
          <t>avverkningsanmälan</t>
        </is>
      </c>
      <c r="C218" t="inlineStr">
        <is>
          <t>Föryngringsavverkning</t>
        </is>
      </c>
      <c r="D218" s="1" t="n">
        <v>45933</v>
      </c>
      <c r="E218" s="1" t="n">
        <v>46216</v>
      </c>
      <c r="F218" t="inlineStr">
        <is>
          <t>VÄSTRA GÖTALANDS LÄN</t>
        </is>
      </c>
      <c r="G218" t="inlineStr">
        <is>
          <t>TRANEMO</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24130-2023</t>
        </is>
      </c>
      <c r="B219" t="inlineStr">
        <is>
          <t>avverkningsanmälan</t>
        </is>
      </c>
      <c r="C219" t="inlineStr">
        <is>
          <t>Föryngringsavverkning</t>
        </is>
      </c>
      <c r="D219" s="1" t="n">
        <v>45079</v>
      </c>
      <c r="E219" s="1" t="n">
        <v>46216</v>
      </c>
      <c r="F219" t="inlineStr">
        <is>
          <t>VÄSTRA GÖTALANDS LÄN</t>
        </is>
      </c>
      <c r="G219" t="inlineStr">
        <is>
          <t>TRANEMO</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48484-2025</t>
        </is>
      </c>
      <c r="B220" t="inlineStr">
        <is>
          <t>avverkningsanmälan</t>
        </is>
      </c>
      <c r="C220" t="inlineStr">
        <is>
          <t>Föryngringsavverkning</t>
        </is>
      </c>
      <c r="D220" s="1" t="n">
        <v>45936</v>
      </c>
      <c r="E220" s="1" t="n">
        <v>46216</v>
      </c>
      <c r="F220" t="inlineStr">
        <is>
          <t>VÄSTRA GÖTALANDS LÄN</t>
        </is>
      </c>
      <c r="G220" t="inlineStr">
        <is>
          <t>TRANEMO</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48505-2025</t>
        </is>
      </c>
      <c r="B221" t="inlineStr">
        <is>
          <t>avverkningsanmälan</t>
        </is>
      </c>
      <c r="C221" t="inlineStr">
        <is>
          <t>Föryngringsavverkning</t>
        </is>
      </c>
      <c r="D221" s="1" t="n">
        <v>45936</v>
      </c>
      <c r="E221" s="1" t="n">
        <v>46216</v>
      </c>
      <c r="F221" t="inlineStr">
        <is>
          <t>VÄSTRA GÖTALANDS LÄN</t>
        </is>
      </c>
      <c r="G221" t="inlineStr">
        <is>
          <t>TRANEMO</t>
        </is>
      </c>
      <c r="I221" t="n">
        <v>6.1</v>
      </c>
      <c r="J221" t="n">
        <v>0</v>
      </c>
      <c r="K221" t="n">
        <v>0</v>
      </c>
      <c r="L221" t="n">
        <v>0</v>
      </c>
      <c r="M221" t="n">
        <v>0</v>
      </c>
      <c r="N221" t="n">
        <v>0</v>
      </c>
      <c r="O221" t="n">
        <v>0</v>
      </c>
      <c r="P221" t="n">
        <v>0</v>
      </c>
      <c r="Q221" t="n">
        <v>0</v>
      </c>
      <c r="R221" t="n">
        <v>0</v>
      </c>
      <c r="S221" t="n">
        <v>0</v>
      </c>
      <c r="T221" t="n">
        <v>0</v>
      </c>
      <c r="U221" s="2" t="inlineStr"/>
    </row>
    <row r="222" ht="15" customHeight="1">
      <c r="A222" t="inlineStr">
        <is>
          <t>A 48778-2025</t>
        </is>
      </c>
      <c r="B222" t="inlineStr">
        <is>
          <t>avverkningsanmälan</t>
        </is>
      </c>
      <c r="C222" t="inlineStr">
        <is>
          <t>Föryngringsavverkning</t>
        </is>
      </c>
      <c r="D222" s="1" t="n">
        <v>45937</v>
      </c>
      <c r="E222" s="1" t="n">
        <v>46216</v>
      </c>
      <c r="F222" t="inlineStr">
        <is>
          <t>VÄSTRA GÖTALANDS LÄN</t>
        </is>
      </c>
      <c r="G222" t="inlineStr">
        <is>
          <t>TRANEMO</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9644-2025</t>
        </is>
      </c>
      <c r="B223" t="inlineStr">
        <is>
          <t>avverkningsanmälan</t>
        </is>
      </c>
      <c r="C223" t="inlineStr">
        <is>
          <t>Föryngringsavverkning</t>
        </is>
      </c>
      <c r="D223" s="1" t="n">
        <v>45715</v>
      </c>
      <c r="E223" s="1" t="n">
        <v>46216</v>
      </c>
      <c r="F223" t="inlineStr">
        <is>
          <t>VÄSTRA GÖTALANDS LÄN</t>
        </is>
      </c>
      <c r="G223" t="inlineStr">
        <is>
          <t>TRANEMO</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48793-2025</t>
        </is>
      </c>
      <c r="B224" t="inlineStr">
        <is>
          <t>avverkningsanmälan</t>
        </is>
      </c>
      <c r="C224" t="inlineStr">
        <is>
          <t>Föryngringsavverkning</t>
        </is>
      </c>
      <c r="D224" s="1" t="n">
        <v>45937</v>
      </c>
      <c r="E224" s="1" t="n">
        <v>46216</v>
      </c>
      <c r="F224" t="inlineStr">
        <is>
          <t>VÄSTRA GÖTALANDS LÄN</t>
        </is>
      </c>
      <c r="G224" t="inlineStr">
        <is>
          <t>TRANEMO</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48792-2025</t>
        </is>
      </c>
      <c r="B225" t="inlineStr">
        <is>
          <t>avverkningsanmälan</t>
        </is>
      </c>
      <c r="C225" t="inlineStr">
        <is>
          <t>Föryngringsavverkning</t>
        </is>
      </c>
      <c r="D225" s="1" t="n">
        <v>45937</v>
      </c>
      <c r="E225" s="1" t="n">
        <v>46216</v>
      </c>
      <c r="F225" t="inlineStr">
        <is>
          <t>VÄSTRA GÖTALANDS LÄN</t>
        </is>
      </c>
      <c r="G225" t="inlineStr">
        <is>
          <t>TRANEMO</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49687-2025</t>
        </is>
      </c>
      <c r="B226" t="inlineStr">
        <is>
          <t>avverkningsanmälan</t>
        </is>
      </c>
      <c r="C226" t="inlineStr">
        <is>
          <t>Föryngringsavverkning</t>
        </is>
      </c>
      <c r="D226" s="1" t="n">
        <v>45939</v>
      </c>
      <c r="E226" s="1" t="n">
        <v>46216</v>
      </c>
      <c r="F226" t="inlineStr">
        <is>
          <t>VÄSTRA GÖTALANDS LÄN</t>
        </is>
      </c>
      <c r="G226" t="inlineStr">
        <is>
          <t>TRANEMO</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3163-2024</t>
        </is>
      </c>
      <c r="B227" t="inlineStr">
        <is>
          <t>avverkningsanmälan</t>
        </is>
      </c>
      <c r="C227" t="inlineStr">
        <is>
          <t>Föryngringsavverkning</t>
        </is>
      </c>
      <c r="D227" s="1" t="n">
        <v>45316</v>
      </c>
      <c r="E227" s="1" t="n">
        <v>46216</v>
      </c>
      <c r="F227" t="inlineStr">
        <is>
          <t>VÄSTRA GÖTALANDS LÄN</t>
        </is>
      </c>
      <c r="G227" t="inlineStr">
        <is>
          <t>TRANEMO</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49692-2025</t>
        </is>
      </c>
      <c r="B228" t="inlineStr">
        <is>
          <t>avverkningsanmälan</t>
        </is>
      </c>
      <c r="C228" t="inlineStr">
        <is>
          <t>Föryngringsavverkning</t>
        </is>
      </c>
      <c r="D228" s="1" t="n">
        <v>45939</v>
      </c>
      <c r="E228" s="1" t="n">
        <v>46216</v>
      </c>
      <c r="F228" t="inlineStr">
        <is>
          <t>VÄSTRA GÖTALANDS LÄN</t>
        </is>
      </c>
      <c r="G228" t="inlineStr">
        <is>
          <t>TRANEMO</t>
        </is>
      </c>
      <c r="I228" t="n">
        <v>7.3</v>
      </c>
      <c r="J228" t="n">
        <v>0</v>
      </c>
      <c r="K228" t="n">
        <v>0</v>
      </c>
      <c r="L228" t="n">
        <v>0</v>
      </c>
      <c r="M228" t="n">
        <v>0</v>
      </c>
      <c r="N228" t="n">
        <v>0</v>
      </c>
      <c r="O228" t="n">
        <v>0</v>
      </c>
      <c r="P228" t="n">
        <v>0</v>
      </c>
      <c r="Q228" t="n">
        <v>0</v>
      </c>
      <c r="R228" t="n">
        <v>0</v>
      </c>
      <c r="S228" t="n">
        <v>0</v>
      </c>
      <c r="T228" t="n">
        <v>0</v>
      </c>
      <c r="U228" s="2" t="inlineStr"/>
    </row>
    <row r="229" ht="15" customHeight="1">
      <c r="A229" t="inlineStr">
        <is>
          <t>A 49711-2025</t>
        </is>
      </c>
      <c r="B229" t="inlineStr">
        <is>
          <t>avverkningsanmälan</t>
        </is>
      </c>
      <c r="C229" t="inlineStr">
        <is>
          <t>Föryngringsavverkning</t>
        </is>
      </c>
      <c r="D229" s="1" t="n">
        <v>45939</v>
      </c>
      <c r="E229" s="1" t="n">
        <v>46216</v>
      </c>
      <c r="F229" t="inlineStr">
        <is>
          <t>VÄSTRA GÖTALANDS LÄN</t>
        </is>
      </c>
      <c r="G229" t="inlineStr">
        <is>
          <t>TRANEMO</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48794-2025</t>
        </is>
      </c>
      <c r="B230" t="inlineStr">
        <is>
          <t>avverkningsanmälan</t>
        </is>
      </c>
      <c r="C230" t="inlineStr">
        <is>
          <t>Föryngringsavverkning</t>
        </is>
      </c>
      <c r="D230" s="1" t="n">
        <v>45937</v>
      </c>
      <c r="E230" s="1" t="n">
        <v>46216</v>
      </c>
      <c r="F230" t="inlineStr">
        <is>
          <t>VÄSTRA GÖTALANDS LÄN</t>
        </is>
      </c>
      <c r="G230" t="inlineStr">
        <is>
          <t>TRANEMO</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49708-2025</t>
        </is>
      </c>
      <c r="B231" t="inlineStr">
        <is>
          <t>avverkningsanmälan</t>
        </is>
      </c>
      <c r="C231" t="inlineStr">
        <is>
          <t>Föryngringsavverkning</t>
        </is>
      </c>
      <c r="D231" s="1" t="n">
        <v>45939</v>
      </c>
      <c r="E231" s="1" t="n">
        <v>46216</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60472-2023</t>
        </is>
      </c>
      <c r="B232" t="inlineStr">
        <is>
          <t>avverkningsanmälan</t>
        </is>
      </c>
      <c r="C232" t="inlineStr">
        <is>
          <t>Föryngringsavverkning</t>
        </is>
      </c>
      <c r="D232" s="1" t="n">
        <v>45259</v>
      </c>
      <c r="E232" s="1" t="n">
        <v>46216</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37264-2025</t>
        </is>
      </c>
      <c r="B233" t="inlineStr">
        <is>
          <t>avverkningsanmälan</t>
        </is>
      </c>
      <c r="C233" t="inlineStr">
        <is>
          <t>Föryngringsavverkning</t>
        </is>
      </c>
      <c r="D233" s="1" t="n">
        <v>45876</v>
      </c>
      <c r="E233" s="1" t="n">
        <v>46216</v>
      </c>
      <c r="F233" t="inlineStr">
        <is>
          <t>VÄSTRA GÖTALANDS LÄN</t>
        </is>
      </c>
      <c r="G233" t="inlineStr">
        <is>
          <t>TRANEMO</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49712-2025</t>
        </is>
      </c>
      <c r="B234" t="inlineStr">
        <is>
          <t>avverkningsanmälan</t>
        </is>
      </c>
      <c r="C234" t="inlineStr">
        <is>
          <t>Föryngringsavverkning</t>
        </is>
      </c>
      <c r="D234" s="1" t="n">
        <v>45939</v>
      </c>
      <c r="E234" s="1" t="n">
        <v>46216</v>
      </c>
      <c r="F234" t="inlineStr">
        <is>
          <t>VÄSTRA GÖTALANDS LÄN</t>
        </is>
      </c>
      <c r="G234" t="inlineStr">
        <is>
          <t>TRANEMO</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49233-2025</t>
        </is>
      </c>
      <c r="B235" t="inlineStr">
        <is>
          <t>avverkningsanmälan</t>
        </is>
      </c>
      <c r="C235" t="inlineStr">
        <is>
          <t>Föryngringsavverkning</t>
        </is>
      </c>
      <c r="D235" s="1" t="n">
        <v>45938</v>
      </c>
      <c r="E235" s="1" t="n">
        <v>46216</v>
      </c>
      <c r="F235" t="inlineStr">
        <is>
          <t>VÄSTRA GÖTALANDS LÄN</t>
        </is>
      </c>
      <c r="G235" t="inlineStr">
        <is>
          <t>TRANEMO</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57242-2023</t>
        </is>
      </c>
      <c r="B236" t="inlineStr">
        <is>
          <t>avverkningsanmälan</t>
        </is>
      </c>
      <c r="C236" t="inlineStr">
        <is>
          <t>Föryngringsavverkning</t>
        </is>
      </c>
      <c r="D236" s="1" t="n">
        <v>45245</v>
      </c>
      <c r="E236" s="1" t="n">
        <v>46216</v>
      </c>
      <c r="F236" t="inlineStr">
        <is>
          <t>VÄSTRA GÖTALANDS LÄN</t>
        </is>
      </c>
      <c r="G236" t="inlineStr">
        <is>
          <t>TRANEMO</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37375-2025</t>
        </is>
      </c>
      <c r="B237" t="inlineStr">
        <is>
          <t>avverkningsanmälan</t>
        </is>
      </c>
      <c r="C237" t="inlineStr">
        <is>
          <t>Föryngringsavverkning</t>
        </is>
      </c>
      <c r="D237" s="1" t="n">
        <v>45877</v>
      </c>
      <c r="E237" s="1" t="n">
        <v>46216</v>
      </c>
      <c r="F237" t="inlineStr">
        <is>
          <t>VÄSTRA GÖTALANDS LÄN</t>
        </is>
      </c>
      <c r="G237" t="inlineStr">
        <is>
          <t>TRANEMO</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37374-2025</t>
        </is>
      </c>
      <c r="B238" t="inlineStr">
        <is>
          <t>avverkningsanmälan</t>
        </is>
      </c>
      <c r="C238" t="inlineStr">
        <is>
          <t>Föryngringsavverkning</t>
        </is>
      </c>
      <c r="D238" s="1" t="n">
        <v>45877</v>
      </c>
      <c r="E238" s="1" t="n">
        <v>46216</v>
      </c>
      <c r="F238" t="inlineStr">
        <is>
          <t>VÄSTRA GÖTALANDS LÄN</t>
        </is>
      </c>
      <c r="G238" t="inlineStr">
        <is>
          <t>TRANEMO</t>
        </is>
      </c>
      <c r="I238" t="n">
        <v>5.1</v>
      </c>
      <c r="J238" t="n">
        <v>0</v>
      </c>
      <c r="K238" t="n">
        <v>0</v>
      </c>
      <c r="L238" t="n">
        <v>0</v>
      </c>
      <c r="M238" t="n">
        <v>0</v>
      </c>
      <c r="N238" t="n">
        <v>0</v>
      </c>
      <c r="O238" t="n">
        <v>0</v>
      </c>
      <c r="P238" t="n">
        <v>0</v>
      </c>
      <c r="Q238" t="n">
        <v>0</v>
      </c>
      <c r="R238" t="n">
        <v>0</v>
      </c>
      <c r="S238" t="n">
        <v>0</v>
      </c>
      <c r="T238" t="n">
        <v>0</v>
      </c>
      <c r="U238" s="2" t="inlineStr"/>
    </row>
    <row r="239" ht="15" customHeight="1">
      <c r="A239" t="inlineStr">
        <is>
          <t>A 40887-2025</t>
        </is>
      </c>
      <c r="B239" t="inlineStr">
        <is>
          <t>avverkningsanmälan</t>
        </is>
      </c>
      <c r="C239" t="inlineStr">
        <is>
          <t>Föryngringsavverkning</t>
        </is>
      </c>
      <c r="D239" s="1" t="n">
        <v>45897</v>
      </c>
      <c r="E239" s="1" t="n">
        <v>46216</v>
      </c>
      <c r="F239" t="inlineStr">
        <is>
          <t>VÄSTRA GÖTALANDS LÄN</t>
        </is>
      </c>
      <c r="G239" t="inlineStr">
        <is>
          <t>TRANEMO</t>
        </is>
      </c>
      <c r="H239" t="inlineStr">
        <is>
          <t>Sveaskog</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48623-2025</t>
        </is>
      </c>
      <c r="B240" t="inlineStr">
        <is>
          <t>avverkningsanmälan</t>
        </is>
      </c>
      <c r="C240" t="inlineStr">
        <is>
          <t>Föryngringsavverkning</t>
        </is>
      </c>
      <c r="D240" s="1" t="n">
        <v>45936</v>
      </c>
      <c r="E240" s="1" t="n">
        <v>46216</v>
      </c>
      <c r="F240" t="inlineStr">
        <is>
          <t>VÄSTRA GÖTALANDS LÄN</t>
        </is>
      </c>
      <c r="G240" t="inlineStr">
        <is>
          <t>TRANEMO</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38437-2025</t>
        </is>
      </c>
      <c r="B241" t="inlineStr">
        <is>
          <t>avverkningsanmälan</t>
        </is>
      </c>
      <c r="C241" t="inlineStr">
        <is>
          <t>Föryngringsavverkning</t>
        </is>
      </c>
      <c r="D241" s="1" t="n">
        <v>45883</v>
      </c>
      <c r="E241" s="1" t="n">
        <v>46216</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51694-2023</t>
        </is>
      </c>
      <c r="B242" t="inlineStr">
        <is>
          <t>avverkningsanmälan</t>
        </is>
      </c>
      <c r="C242" t="inlineStr">
        <is>
          <t>Föryngringsavverkning</t>
        </is>
      </c>
      <c r="D242" s="1" t="n">
        <v>45222</v>
      </c>
      <c r="E242" s="1" t="n">
        <v>46216</v>
      </c>
      <c r="F242" t="inlineStr">
        <is>
          <t>VÄSTRA GÖTALANDS LÄN</t>
        </is>
      </c>
      <c r="G242" t="inlineStr">
        <is>
          <t>TRANEMO</t>
        </is>
      </c>
      <c r="I242" t="n">
        <v>4.2</v>
      </c>
      <c r="J242" t="n">
        <v>0</v>
      </c>
      <c r="K242" t="n">
        <v>0</v>
      </c>
      <c r="L242" t="n">
        <v>0</v>
      </c>
      <c r="M242" t="n">
        <v>0</v>
      </c>
      <c r="N242" t="n">
        <v>0</v>
      </c>
      <c r="O242" t="n">
        <v>0</v>
      </c>
      <c r="P242" t="n">
        <v>0</v>
      </c>
      <c r="Q242" t="n">
        <v>0</v>
      </c>
      <c r="R242" t="n">
        <v>0</v>
      </c>
      <c r="S242" t="n">
        <v>0</v>
      </c>
      <c r="T242" t="n">
        <v>0</v>
      </c>
      <c r="U242" s="2" t="inlineStr"/>
    </row>
    <row r="243" ht="15" customHeight="1">
      <c r="A243" t="inlineStr">
        <is>
          <t>A 48003-2022</t>
        </is>
      </c>
      <c r="B243" t="inlineStr">
        <is>
          <t>avverkningsanmälan</t>
        </is>
      </c>
      <c r="C243" t="inlineStr">
        <is>
          <t>Föryngringsavverkning</t>
        </is>
      </c>
      <c r="D243" s="1" t="n">
        <v>44855</v>
      </c>
      <c r="E243" s="1" t="n">
        <v>46216</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59306-2022</t>
        </is>
      </c>
      <c r="B244" t="inlineStr">
        <is>
          <t>avverkningsanmälan</t>
        </is>
      </c>
      <c r="C244" t="inlineStr">
        <is>
          <t>Föryngringsavverkning</t>
        </is>
      </c>
      <c r="D244" s="1" t="n">
        <v>44904</v>
      </c>
      <c r="E244" s="1" t="n">
        <v>46216</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2227-2022</t>
        </is>
      </c>
      <c r="B245" t="inlineStr">
        <is>
          <t>avverkningsanmälan</t>
        </is>
      </c>
      <c r="C245" t="inlineStr">
        <is>
          <t>Föryngringsavverkning</t>
        </is>
      </c>
      <c r="D245" s="1" t="n">
        <v>44578</v>
      </c>
      <c r="E245" s="1" t="n">
        <v>46216</v>
      </c>
      <c r="F245" t="inlineStr">
        <is>
          <t>VÄSTRA GÖTALANDS LÄN</t>
        </is>
      </c>
      <c r="G245" t="inlineStr">
        <is>
          <t>TRANEMO</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34547-2023</t>
        </is>
      </c>
      <c r="B246" t="inlineStr">
        <is>
          <t>avverkningsanmälan</t>
        </is>
      </c>
      <c r="C246" t="inlineStr">
        <is>
          <t>Föryngringsavverkning</t>
        </is>
      </c>
      <c r="D246" s="1" t="n">
        <v>45140</v>
      </c>
      <c r="E246" s="1" t="n">
        <v>46216</v>
      </c>
      <c r="F246" t="inlineStr">
        <is>
          <t>VÄSTRA GÖTALANDS LÄN</t>
        </is>
      </c>
      <c r="G246" t="inlineStr">
        <is>
          <t>TRANEMO</t>
        </is>
      </c>
      <c r="I246" t="n">
        <v>2.8</v>
      </c>
      <c r="J246" t="n">
        <v>0</v>
      </c>
      <c r="K246" t="n">
        <v>0</v>
      </c>
      <c r="L246" t="n">
        <v>0</v>
      </c>
      <c r="M246" t="n">
        <v>0</v>
      </c>
      <c r="N246" t="n">
        <v>0</v>
      </c>
      <c r="O246" t="n">
        <v>0</v>
      </c>
      <c r="P246" t="n">
        <v>0</v>
      </c>
      <c r="Q246" t="n">
        <v>0</v>
      </c>
      <c r="R246" t="n">
        <v>0</v>
      </c>
      <c r="S246" t="n">
        <v>0</v>
      </c>
      <c r="T246" t="n">
        <v>0</v>
      </c>
      <c r="U246" s="2" t="inlineStr"/>
    </row>
    <row r="247" ht="15" customHeight="1">
      <c r="A247" t="inlineStr">
        <is>
          <t>A 51418-2025</t>
        </is>
      </c>
      <c r="B247" t="inlineStr">
        <is>
          <t>avverkningsanmälan</t>
        </is>
      </c>
      <c r="C247" t="inlineStr">
        <is>
          <t>Föryngringsavverkning</t>
        </is>
      </c>
      <c r="D247" s="1" t="n">
        <v>45950</v>
      </c>
      <c r="E247" s="1" t="n">
        <v>46216</v>
      </c>
      <c r="F247" t="inlineStr">
        <is>
          <t>VÄSTRA GÖTALANDS LÄN</t>
        </is>
      </c>
      <c r="G247" t="inlineStr">
        <is>
          <t>TRANEMO</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51374-2025</t>
        </is>
      </c>
      <c r="B248" t="inlineStr">
        <is>
          <t>avverkningsanmälan</t>
        </is>
      </c>
      <c r="C248" t="inlineStr">
        <is>
          <t>Föryngringsavverkning</t>
        </is>
      </c>
      <c r="D248" s="1" t="n">
        <v>45950</v>
      </c>
      <c r="E248" s="1" t="n">
        <v>46216</v>
      </c>
      <c r="F248" t="inlineStr">
        <is>
          <t>VÄSTRA GÖTALANDS LÄN</t>
        </is>
      </c>
      <c r="G248" t="inlineStr">
        <is>
          <t>TRANEMO</t>
        </is>
      </c>
      <c r="I248" t="n">
        <v>2.5</v>
      </c>
      <c r="J248" t="n">
        <v>0</v>
      </c>
      <c r="K248" t="n">
        <v>0</v>
      </c>
      <c r="L248" t="n">
        <v>0</v>
      </c>
      <c r="M248" t="n">
        <v>0</v>
      </c>
      <c r="N248" t="n">
        <v>0</v>
      </c>
      <c r="O248" t="n">
        <v>0</v>
      </c>
      <c r="P248" t="n">
        <v>0</v>
      </c>
      <c r="Q248" t="n">
        <v>0</v>
      </c>
      <c r="R248" t="n">
        <v>0</v>
      </c>
      <c r="S248" t="n">
        <v>0</v>
      </c>
      <c r="T248" t="n">
        <v>0</v>
      </c>
      <c r="U248" s="2" t="inlineStr"/>
    </row>
    <row r="249" ht="15" customHeight="1">
      <c r="A249" t="inlineStr">
        <is>
          <t>A 51415-2025</t>
        </is>
      </c>
      <c r="B249" t="inlineStr">
        <is>
          <t>avverkningsanmälan</t>
        </is>
      </c>
      <c r="C249" t="inlineStr">
        <is>
          <t>Föryngringsavverkning</t>
        </is>
      </c>
      <c r="D249" s="1" t="n">
        <v>45950</v>
      </c>
      <c r="E249" s="1" t="n">
        <v>46216</v>
      </c>
      <c r="F249" t="inlineStr">
        <is>
          <t>VÄSTRA GÖTALANDS LÄN</t>
        </is>
      </c>
      <c r="G249" t="inlineStr">
        <is>
          <t>TRANEMO</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51421-2025</t>
        </is>
      </c>
      <c r="B250" t="inlineStr">
        <is>
          <t>avverkningsanmälan</t>
        </is>
      </c>
      <c r="C250" t="inlineStr">
        <is>
          <t>Föryngringsavverkning</t>
        </is>
      </c>
      <c r="D250" s="1" t="n">
        <v>45950</v>
      </c>
      <c r="E250" s="1" t="n">
        <v>46216</v>
      </c>
      <c r="F250" t="inlineStr">
        <is>
          <t>VÄSTRA GÖTALANDS LÄN</t>
        </is>
      </c>
      <c r="G250" t="inlineStr">
        <is>
          <t>TRANEMO</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51422-2025</t>
        </is>
      </c>
      <c r="B251" t="inlineStr">
        <is>
          <t>avverkningsanmälan</t>
        </is>
      </c>
      <c r="C251" t="inlineStr">
        <is>
          <t>Föryngringsavverkning</t>
        </is>
      </c>
      <c r="D251" s="1" t="n">
        <v>45950</v>
      </c>
      <c r="E251" s="1" t="n">
        <v>46216</v>
      </c>
      <c r="F251" t="inlineStr">
        <is>
          <t>VÄSTRA GÖTALANDS LÄN</t>
        </is>
      </c>
      <c r="G251" t="inlineStr">
        <is>
          <t>TRANEMO</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6999-2025</t>
        </is>
      </c>
      <c r="B252" t="inlineStr">
        <is>
          <t>avverkningsanmälan</t>
        </is>
      </c>
      <c r="C252" t="inlineStr">
        <is>
          <t>Föryngringsavverkning</t>
        </is>
      </c>
      <c r="D252" s="1" t="n">
        <v>45701</v>
      </c>
      <c r="E252" s="1" t="n">
        <v>46216</v>
      </c>
      <c r="F252" t="inlineStr">
        <is>
          <t>VÄSTRA GÖTALANDS LÄN</t>
        </is>
      </c>
      <c r="G252" t="inlineStr">
        <is>
          <t>TRANEMO</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57234-2023</t>
        </is>
      </c>
      <c r="B253" t="inlineStr">
        <is>
          <t>avverkningsanmälan</t>
        </is>
      </c>
      <c r="C253" t="inlineStr">
        <is>
          <t>Föryngringsavverkning</t>
        </is>
      </c>
      <c r="D253" s="1" t="n">
        <v>45245</v>
      </c>
      <c r="E253" s="1" t="n">
        <v>46216</v>
      </c>
      <c r="F253" t="inlineStr">
        <is>
          <t>VÄSTRA GÖTALANDS LÄN</t>
        </is>
      </c>
      <c r="G253" t="inlineStr">
        <is>
          <t>TRANEMO</t>
        </is>
      </c>
      <c r="I253" t="n">
        <v>4</v>
      </c>
      <c r="J253" t="n">
        <v>0</v>
      </c>
      <c r="K253" t="n">
        <v>0</v>
      </c>
      <c r="L253" t="n">
        <v>0</v>
      </c>
      <c r="M253" t="n">
        <v>0</v>
      </c>
      <c r="N253" t="n">
        <v>0</v>
      </c>
      <c r="O253" t="n">
        <v>0</v>
      </c>
      <c r="P253" t="n">
        <v>0</v>
      </c>
      <c r="Q253" t="n">
        <v>0</v>
      </c>
      <c r="R253" t="n">
        <v>0</v>
      </c>
      <c r="S253" t="n">
        <v>0</v>
      </c>
      <c r="T253" t="n">
        <v>0</v>
      </c>
      <c r="U253" s="2" t="inlineStr"/>
    </row>
    <row r="254" ht="15" customHeight="1">
      <c r="A254" t="inlineStr">
        <is>
          <t>A 39747-2022</t>
        </is>
      </c>
      <c r="B254" t="inlineStr">
        <is>
          <t>avverkningsanmälan</t>
        </is>
      </c>
      <c r="C254" t="inlineStr">
        <is>
          <t>Föryngringsavverkning</t>
        </is>
      </c>
      <c r="D254" s="1" t="n">
        <v>44819</v>
      </c>
      <c r="E254" s="1" t="n">
        <v>46216</v>
      </c>
      <c r="F254" t="inlineStr">
        <is>
          <t>VÄSTRA GÖTALANDS LÄN</t>
        </is>
      </c>
      <c r="G254" t="inlineStr">
        <is>
          <t>TRANEMO</t>
        </is>
      </c>
      <c r="I254" t="n">
        <v>6.5</v>
      </c>
      <c r="J254" t="n">
        <v>0</v>
      </c>
      <c r="K254" t="n">
        <v>0</v>
      </c>
      <c r="L254" t="n">
        <v>0</v>
      </c>
      <c r="M254" t="n">
        <v>0</v>
      </c>
      <c r="N254" t="n">
        <v>0</v>
      </c>
      <c r="O254" t="n">
        <v>0</v>
      </c>
      <c r="P254" t="n">
        <v>0</v>
      </c>
      <c r="Q254" t="n">
        <v>0</v>
      </c>
      <c r="R254" t="n">
        <v>0</v>
      </c>
      <c r="S254" t="n">
        <v>0</v>
      </c>
      <c r="T254" t="n">
        <v>0</v>
      </c>
      <c r="U254" s="2" t="inlineStr"/>
    </row>
    <row r="255" ht="15" customHeight="1">
      <c r="A255" t="inlineStr">
        <is>
          <t>A 21190-2023</t>
        </is>
      </c>
      <c r="B255" t="inlineStr">
        <is>
          <t>avverkningsanmälan</t>
        </is>
      </c>
      <c r="C255" t="inlineStr">
        <is>
          <t>Föryngringsavverkning</t>
        </is>
      </c>
      <c r="D255" s="1" t="n">
        <v>45062</v>
      </c>
      <c r="E255" s="1" t="n">
        <v>46216</v>
      </c>
      <c r="F255" t="inlineStr">
        <is>
          <t>VÄSTRA GÖTALANDS LÄN</t>
        </is>
      </c>
      <c r="G255" t="inlineStr">
        <is>
          <t>TRANEMO</t>
        </is>
      </c>
      <c r="I255" t="n">
        <v>5.8</v>
      </c>
      <c r="J255" t="n">
        <v>0</v>
      </c>
      <c r="K255" t="n">
        <v>0</v>
      </c>
      <c r="L255" t="n">
        <v>0</v>
      </c>
      <c r="M255" t="n">
        <v>0</v>
      </c>
      <c r="N255" t="n">
        <v>0</v>
      </c>
      <c r="O255" t="n">
        <v>0</v>
      </c>
      <c r="P255" t="n">
        <v>0</v>
      </c>
      <c r="Q255" t="n">
        <v>0</v>
      </c>
      <c r="R255" t="n">
        <v>0</v>
      </c>
      <c r="S255" t="n">
        <v>0</v>
      </c>
      <c r="T255" t="n">
        <v>0</v>
      </c>
      <c r="U255" s="2" t="inlineStr"/>
    </row>
    <row r="256" ht="15" customHeight="1">
      <c r="A256" t="inlineStr">
        <is>
          <t>A 71985-2021</t>
        </is>
      </c>
      <c r="B256" t="inlineStr">
        <is>
          <t>avverkningsanmälan</t>
        </is>
      </c>
      <c r="C256" t="inlineStr">
        <is>
          <t>Föryngringsavverkning</t>
        </is>
      </c>
      <c r="D256" s="1" t="n">
        <v>44544</v>
      </c>
      <c r="E256" s="1" t="n">
        <v>46216</v>
      </c>
      <c r="F256" t="inlineStr">
        <is>
          <t>VÄSTRA GÖTALANDS LÄN</t>
        </is>
      </c>
      <c r="G256" t="inlineStr">
        <is>
          <t>TRANEMO</t>
        </is>
      </c>
      <c r="I256" t="n">
        <v>3.8</v>
      </c>
      <c r="J256" t="n">
        <v>0</v>
      </c>
      <c r="K256" t="n">
        <v>0</v>
      </c>
      <c r="L256" t="n">
        <v>0</v>
      </c>
      <c r="M256" t="n">
        <v>0</v>
      </c>
      <c r="N256" t="n">
        <v>0</v>
      </c>
      <c r="O256" t="n">
        <v>0</v>
      </c>
      <c r="P256" t="n">
        <v>0</v>
      </c>
      <c r="Q256" t="n">
        <v>0</v>
      </c>
      <c r="R256" t="n">
        <v>0</v>
      </c>
      <c r="S256" t="n">
        <v>0</v>
      </c>
      <c r="T256" t="n">
        <v>0</v>
      </c>
      <c r="U256" s="2" t="inlineStr"/>
    </row>
    <row r="257" ht="15" customHeight="1">
      <c r="A257" t="inlineStr">
        <is>
          <t>A 53770-2025</t>
        </is>
      </c>
      <c r="B257" t="inlineStr">
        <is>
          <t>avverkningsanmälan</t>
        </is>
      </c>
      <c r="C257" t="inlineStr">
        <is>
          <t>Föryngringsavverkning</t>
        </is>
      </c>
      <c r="D257" s="1" t="n">
        <v>45960</v>
      </c>
      <c r="E257" s="1" t="n">
        <v>46216</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s="2" t="inlineStr"/>
    </row>
    <row r="258" ht="15" customHeight="1">
      <c r="A258" t="inlineStr">
        <is>
          <t>A 15098-2024</t>
        </is>
      </c>
      <c r="B258" t="inlineStr">
        <is>
          <t>avverkningsanmälan</t>
        </is>
      </c>
      <c r="C258" t="inlineStr">
        <is>
          <t>Föryngringsavverkning</t>
        </is>
      </c>
      <c r="D258" s="1" t="n">
        <v>45399</v>
      </c>
      <c r="E258" s="1" t="n">
        <v>46216</v>
      </c>
      <c r="F258" t="inlineStr">
        <is>
          <t>VÄSTRA GÖTALANDS LÄN</t>
        </is>
      </c>
      <c r="G258" t="inlineStr">
        <is>
          <t>TRANEMO</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18470-2024</t>
        </is>
      </c>
      <c r="B259" t="inlineStr">
        <is>
          <t>avverkningsanmälan</t>
        </is>
      </c>
      <c r="C259" t="inlineStr">
        <is>
          <t>Föryngringsavverkning</t>
        </is>
      </c>
      <c r="D259" s="1" t="n">
        <v>45425</v>
      </c>
      <c r="E259" s="1" t="n">
        <v>46216</v>
      </c>
      <c r="F259" t="inlineStr">
        <is>
          <t>VÄSTRA GÖTALANDS LÄN</t>
        </is>
      </c>
      <c r="G259" t="inlineStr">
        <is>
          <t>TRANEMO</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5642-2026</t>
        </is>
      </c>
      <c r="B260" t="inlineStr">
        <is>
          <t>avverkningsanmälan</t>
        </is>
      </c>
      <c r="C260" t="inlineStr">
        <is>
          <t>Föryngringsavverkning</t>
        </is>
      </c>
      <c r="D260" s="1" t="n">
        <v>46051</v>
      </c>
      <c r="E260" s="1" t="n">
        <v>46216</v>
      </c>
      <c r="F260" t="inlineStr">
        <is>
          <t>VÄSTRA GÖTALANDS LÄN</t>
        </is>
      </c>
      <c r="G260" t="inlineStr">
        <is>
          <t>TRANEMO</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5641-2026</t>
        </is>
      </c>
      <c r="B261" t="inlineStr">
        <is>
          <t>avverkningsanmälan</t>
        </is>
      </c>
      <c r="C261" t="inlineStr">
        <is>
          <t>Föryngringsavverkning</t>
        </is>
      </c>
      <c r="D261" s="1" t="n">
        <v>46051</v>
      </c>
      <c r="E261" s="1" t="n">
        <v>46216</v>
      </c>
      <c r="F261" t="inlineStr">
        <is>
          <t>VÄSTRA GÖTALANDS LÄN</t>
        </is>
      </c>
      <c r="G261" t="inlineStr">
        <is>
          <t>TRANEMO</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54808-2025</t>
        </is>
      </c>
      <c r="B262" t="inlineStr">
        <is>
          <t>avverkningsanmälan</t>
        </is>
      </c>
      <c r="C262" t="inlineStr">
        <is>
          <t>Föryngringsavverkning</t>
        </is>
      </c>
      <c r="D262" s="1" t="n">
        <v>45966</v>
      </c>
      <c r="E262" s="1" t="n">
        <v>46216</v>
      </c>
      <c r="F262" t="inlineStr">
        <is>
          <t>VÄSTRA GÖTALANDS LÄN</t>
        </is>
      </c>
      <c r="G262" t="inlineStr">
        <is>
          <t>TRANEMO</t>
        </is>
      </c>
      <c r="I262" t="n">
        <v>4.7</v>
      </c>
      <c r="J262" t="n">
        <v>0</v>
      </c>
      <c r="K262" t="n">
        <v>0</v>
      </c>
      <c r="L262" t="n">
        <v>0</v>
      </c>
      <c r="M262" t="n">
        <v>0</v>
      </c>
      <c r="N262" t="n">
        <v>0</v>
      </c>
      <c r="O262" t="n">
        <v>0</v>
      </c>
      <c r="P262" t="n">
        <v>0</v>
      </c>
      <c r="Q262" t="n">
        <v>0</v>
      </c>
      <c r="R262" t="n">
        <v>0</v>
      </c>
      <c r="S262" t="n">
        <v>0</v>
      </c>
      <c r="T262" t="n">
        <v>0</v>
      </c>
      <c r="U262" s="2" t="inlineStr"/>
    </row>
    <row r="263" ht="15" customHeight="1">
      <c r="A263" t="inlineStr">
        <is>
          <t>A 9746-2024</t>
        </is>
      </c>
      <c r="B263" t="inlineStr">
        <is>
          <t>avverkningsanmälan</t>
        </is>
      </c>
      <c r="C263" t="inlineStr">
        <is>
          <t>Föryngringsavverkning</t>
        </is>
      </c>
      <c r="D263" s="1" t="n">
        <v>45362</v>
      </c>
      <c r="E263" s="1" t="n">
        <v>46216</v>
      </c>
      <c r="F263" t="inlineStr">
        <is>
          <t>VÄSTRA GÖTALANDS LÄN</t>
        </is>
      </c>
      <c r="G263" t="inlineStr">
        <is>
          <t>TRANEMO</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9756-2024</t>
        </is>
      </c>
      <c r="B264" t="inlineStr">
        <is>
          <t>avverkningsanmälan</t>
        </is>
      </c>
      <c r="C264" t="inlineStr">
        <is>
          <t>Föryngringsavverkning</t>
        </is>
      </c>
      <c r="D264" s="1" t="n">
        <v>45362</v>
      </c>
      <c r="E264" s="1" t="n">
        <v>46216</v>
      </c>
      <c r="F264" t="inlineStr">
        <is>
          <t>VÄSTRA GÖTALANDS LÄN</t>
        </is>
      </c>
      <c r="G264" t="inlineStr">
        <is>
          <t>TRANEMO</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9564-2025</t>
        </is>
      </c>
      <c r="B265" t="inlineStr">
        <is>
          <t>avverkningsanmälan</t>
        </is>
      </c>
      <c r="C265" t="inlineStr">
        <is>
          <t>Föryngringsavverkning</t>
        </is>
      </c>
      <c r="D265" s="1" t="n">
        <v>45715</v>
      </c>
      <c r="E265" s="1" t="n">
        <v>46216</v>
      </c>
      <c r="F265" t="inlineStr">
        <is>
          <t>VÄSTRA GÖTALANDS LÄN</t>
        </is>
      </c>
      <c r="G265" t="inlineStr">
        <is>
          <t>TRANEMO</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2214-2025</t>
        </is>
      </c>
      <c r="B266" t="inlineStr">
        <is>
          <t>avverkningsanmälan</t>
        </is>
      </c>
      <c r="C266" t="inlineStr">
        <is>
          <t>Föryngringsavverkning</t>
        </is>
      </c>
      <c r="D266" s="1" t="n">
        <v>45673</v>
      </c>
      <c r="E266" s="1" t="n">
        <v>46216</v>
      </c>
      <c r="F266" t="inlineStr">
        <is>
          <t>VÄSTRA GÖTALANDS LÄN</t>
        </is>
      </c>
      <c r="G266" t="inlineStr">
        <is>
          <t>TRANEMO</t>
        </is>
      </c>
      <c r="I266" t="n">
        <v>16.6</v>
      </c>
      <c r="J266" t="n">
        <v>0</v>
      </c>
      <c r="K266" t="n">
        <v>0</v>
      </c>
      <c r="L266" t="n">
        <v>0</v>
      </c>
      <c r="M266" t="n">
        <v>0</v>
      </c>
      <c r="N266" t="n">
        <v>0</v>
      </c>
      <c r="O266" t="n">
        <v>0</v>
      </c>
      <c r="P266" t="n">
        <v>0</v>
      </c>
      <c r="Q266" t="n">
        <v>0</v>
      </c>
      <c r="R266" t="n">
        <v>0</v>
      </c>
      <c r="S266" t="n">
        <v>0</v>
      </c>
      <c r="T266" t="n">
        <v>0</v>
      </c>
      <c r="U266" s="2" t="inlineStr"/>
    </row>
    <row r="267" ht="15" customHeight="1">
      <c r="A267" t="inlineStr">
        <is>
          <t>A 28629-2022</t>
        </is>
      </c>
      <c r="B267" t="inlineStr">
        <is>
          <t>avverkningsanmälan</t>
        </is>
      </c>
      <c r="C267" t="inlineStr">
        <is>
          <t>Föryngringsavverkning</t>
        </is>
      </c>
      <c r="D267" s="1" t="n">
        <v>44748</v>
      </c>
      <c r="E267" s="1" t="n">
        <v>46216</v>
      </c>
      <c r="F267" t="inlineStr">
        <is>
          <t>VÄSTRA GÖTALANDS LÄN</t>
        </is>
      </c>
      <c r="G267" t="inlineStr">
        <is>
          <t>TRANEMO</t>
        </is>
      </c>
      <c r="H267" t="inlineStr">
        <is>
          <t>Kommuner</t>
        </is>
      </c>
      <c r="I267" t="n">
        <v>3</v>
      </c>
      <c r="J267" t="n">
        <v>0</v>
      </c>
      <c r="K267" t="n">
        <v>0</v>
      </c>
      <c r="L267" t="n">
        <v>0</v>
      </c>
      <c r="M267" t="n">
        <v>0</v>
      </c>
      <c r="N267" t="n">
        <v>0</v>
      </c>
      <c r="O267" t="n">
        <v>0</v>
      </c>
      <c r="P267" t="n">
        <v>0</v>
      </c>
      <c r="Q267" t="n">
        <v>0</v>
      </c>
      <c r="R267" t="n">
        <v>0</v>
      </c>
      <c r="S267" t="n">
        <v>0</v>
      </c>
      <c r="T267" t="n">
        <v>0</v>
      </c>
      <c r="U267" s="2" t="inlineStr"/>
    </row>
    <row r="268" ht="15" customHeight="1">
      <c r="A268" t="inlineStr">
        <is>
          <t>A 56990-2025</t>
        </is>
      </c>
      <c r="B268" t="inlineStr">
        <is>
          <t>avverkningsanmälan</t>
        </is>
      </c>
      <c r="C268" t="inlineStr">
        <is>
          <t>Föryngringsavverkning</t>
        </is>
      </c>
      <c r="D268" s="1" t="n">
        <v>45978</v>
      </c>
      <c r="E268" s="1" t="n">
        <v>46216</v>
      </c>
      <c r="F268" t="inlineStr">
        <is>
          <t>VÄSTRA GÖTALANDS LÄN</t>
        </is>
      </c>
      <c r="G268" t="inlineStr">
        <is>
          <t>TRANEMO</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56998-2025</t>
        </is>
      </c>
      <c r="B269" t="inlineStr">
        <is>
          <t>avverkningsanmälan</t>
        </is>
      </c>
      <c r="C269" t="inlineStr">
        <is>
          <t>Föryngringsavverkning</t>
        </is>
      </c>
      <c r="D269" s="1" t="n">
        <v>45978</v>
      </c>
      <c r="E269" s="1" t="n">
        <v>46216</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56929-2025</t>
        </is>
      </c>
      <c r="B270" t="inlineStr">
        <is>
          <t>avverkningsanmälan</t>
        </is>
      </c>
      <c r="C270" t="inlineStr">
        <is>
          <t>Föryngringsavverkning</t>
        </is>
      </c>
      <c r="D270" s="1" t="n">
        <v>45978</v>
      </c>
      <c r="E270" s="1" t="n">
        <v>46216</v>
      </c>
      <c r="F270" t="inlineStr">
        <is>
          <t>VÄSTRA GÖTALANDS LÄN</t>
        </is>
      </c>
      <c r="G270" t="inlineStr">
        <is>
          <t>TRANEMO</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56930-2025</t>
        </is>
      </c>
      <c r="B271" t="inlineStr">
        <is>
          <t>avverkningsanmälan</t>
        </is>
      </c>
      <c r="C271" t="inlineStr">
        <is>
          <t>Föryngringsavverkning</t>
        </is>
      </c>
      <c r="D271" s="1" t="n">
        <v>45978</v>
      </c>
      <c r="E271" s="1" t="n">
        <v>46216</v>
      </c>
      <c r="F271" t="inlineStr">
        <is>
          <t>VÄSTRA GÖTALANDS LÄN</t>
        </is>
      </c>
      <c r="G271" t="inlineStr">
        <is>
          <t>TRANEMO</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56989-2025</t>
        </is>
      </c>
      <c r="B272" t="inlineStr">
        <is>
          <t>avverkningsanmälan</t>
        </is>
      </c>
      <c r="C272" t="inlineStr">
        <is>
          <t>Föryngringsavverkning</t>
        </is>
      </c>
      <c r="D272" s="1" t="n">
        <v>45978</v>
      </c>
      <c r="E272" s="1" t="n">
        <v>46216</v>
      </c>
      <c r="F272" t="inlineStr">
        <is>
          <t>VÄSTRA GÖTALANDS LÄN</t>
        </is>
      </c>
      <c r="G272" t="inlineStr">
        <is>
          <t>TRANEMO</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9833-2025</t>
        </is>
      </c>
      <c r="B273" t="inlineStr">
        <is>
          <t>avverkningsanmälan</t>
        </is>
      </c>
      <c r="C273" t="inlineStr">
        <is>
          <t>Föryngringsavverkning</t>
        </is>
      </c>
      <c r="D273" s="1" t="n">
        <v>45716</v>
      </c>
      <c r="E273" s="1" t="n">
        <v>46216</v>
      </c>
      <c r="F273" t="inlineStr">
        <is>
          <t>VÄSTRA GÖTALANDS LÄN</t>
        </is>
      </c>
      <c r="G273" t="inlineStr">
        <is>
          <t>TRANEMO</t>
        </is>
      </c>
      <c r="I273" t="n">
        <v>1.8</v>
      </c>
      <c r="J273" t="n">
        <v>0</v>
      </c>
      <c r="K273" t="n">
        <v>0</v>
      </c>
      <c r="L273" t="n">
        <v>0</v>
      </c>
      <c r="M273" t="n">
        <v>0</v>
      </c>
      <c r="N273" t="n">
        <v>0</v>
      </c>
      <c r="O273" t="n">
        <v>0</v>
      </c>
      <c r="P273" t="n">
        <v>0</v>
      </c>
      <c r="Q273" t="n">
        <v>0</v>
      </c>
      <c r="R273" t="n">
        <v>0</v>
      </c>
      <c r="S273" t="n">
        <v>0</v>
      </c>
      <c r="T273" t="n">
        <v>0</v>
      </c>
      <c r="U273" s="2" t="inlineStr"/>
    </row>
    <row r="274" ht="15" customHeight="1">
      <c r="A274" t="inlineStr">
        <is>
          <t>A 56999-2025</t>
        </is>
      </c>
      <c r="B274" t="inlineStr">
        <is>
          <t>avverkningsanmälan</t>
        </is>
      </c>
      <c r="C274" t="inlineStr">
        <is>
          <t>Föryngringsavverkning</t>
        </is>
      </c>
      <c r="D274" s="1" t="n">
        <v>45978</v>
      </c>
      <c r="E274" s="1" t="n">
        <v>46216</v>
      </c>
      <c r="F274" t="inlineStr">
        <is>
          <t>VÄSTRA GÖTALANDS LÄN</t>
        </is>
      </c>
      <c r="G274" t="inlineStr">
        <is>
          <t>TRANEMO</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57009-2025</t>
        </is>
      </c>
      <c r="B275" t="inlineStr">
        <is>
          <t>avverkningsanmälan</t>
        </is>
      </c>
      <c r="C275" t="inlineStr">
        <is>
          <t>Föryngringsavverkning</t>
        </is>
      </c>
      <c r="D275" s="1" t="n">
        <v>45978</v>
      </c>
      <c r="E275" s="1" t="n">
        <v>46216</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28944-2022</t>
        </is>
      </c>
      <c r="B276" t="inlineStr">
        <is>
          <t>avverkningsanmälan</t>
        </is>
      </c>
      <c r="C276" t="inlineStr">
        <is>
          <t>Föryngringsavverkning</t>
        </is>
      </c>
      <c r="D276" s="1" t="n">
        <v>44749</v>
      </c>
      <c r="E276" s="1" t="n">
        <v>46216</v>
      </c>
      <c r="F276" t="inlineStr">
        <is>
          <t>VÄSTRA GÖTALANDS LÄN</t>
        </is>
      </c>
      <c r="G276" t="inlineStr">
        <is>
          <t>TRANEMO</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56937-2025</t>
        </is>
      </c>
      <c r="B277" t="inlineStr">
        <is>
          <t>avverkningsanmälan</t>
        </is>
      </c>
      <c r="C277" t="inlineStr">
        <is>
          <t>Föryngringsavverkning</t>
        </is>
      </c>
      <c r="D277" s="1" t="n">
        <v>45978</v>
      </c>
      <c r="E277" s="1" t="n">
        <v>46216</v>
      </c>
      <c r="F277" t="inlineStr">
        <is>
          <t>VÄSTRA GÖTALANDS LÄN</t>
        </is>
      </c>
      <c r="G277" t="inlineStr">
        <is>
          <t>TRANEMO</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56983-2025</t>
        </is>
      </c>
      <c r="B278" t="inlineStr">
        <is>
          <t>avverkningsanmälan</t>
        </is>
      </c>
      <c r="C278" t="inlineStr">
        <is>
          <t>Föryngringsavverkning</t>
        </is>
      </c>
      <c r="D278" s="1" t="n">
        <v>45978</v>
      </c>
      <c r="E278" s="1" t="n">
        <v>46216</v>
      </c>
      <c r="F278" t="inlineStr">
        <is>
          <t>VÄSTRA GÖTALANDS LÄN</t>
        </is>
      </c>
      <c r="G278" t="inlineStr">
        <is>
          <t>TRANEMO</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56984-2025</t>
        </is>
      </c>
      <c r="B279" t="inlineStr">
        <is>
          <t>avverkningsanmälan</t>
        </is>
      </c>
      <c r="C279" t="inlineStr">
        <is>
          <t>Föryngringsavverkning</t>
        </is>
      </c>
      <c r="D279" s="1" t="n">
        <v>45978</v>
      </c>
      <c r="E279" s="1" t="n">
        <v>46216</v>
      </c>
      <c r="F279" t="inlineStr">
        <is>
          <t>VÄSTRA GÖTALANDS LÄN</t>
        </is>
      </c>
      <c r="G279" t="inlineStr">
        <is>
          <t>TRANEMO</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57007-2025</t>
        </is>
      </c>
      <c r="B280" t="inlineStr">
        <is>
          <t>avverkningsanmälan</t>
        </is>
      </c>
      <c r="C280" t="inlineStr">
        <is>
          <t>Föryngringsavverkning</t>
        </is>
      </c>
      <c r="D280" s="1" t="n">
        <v>45978</v>
      </c>
      <c r="E280" s="1" t="n">
        <v>46216</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56986-2025</t>
        </is>
      </c>
      <c r="B281" t="inlineStr">
        <is>
          <t>avverkningsanmälan</t>
        </is>
      </c>
      <c r="C281" t="inlineStr">
        <is>
          <t>Föryngringsavverkning</t>
        </is>
      </c>
      <c r="D281" s="1" t="n">
        <v>45978</v>
      </c>
      <c r="E281" s="1" t="n">
        <v>46216</v>
      </c>
      <c r="F281" t="inlineStr">
        <is>
          <t>VÄSTRA GÖTALANDS LÄN</t>
        </is>
      </c>
      <c r="G281" t="inlineStr">
        <is>
          <t>TRANEMO</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57455-2025</t>
        </is>
      </c>
      <c r="B282" t="inlineStr">
        <is>
          <t>avverkningsanmälan</t>
        </is>
      </c>
      <c r="C282" t="inlineStr">
        <is>
          <t>Föryngringsavverkning</t>
        </is>
      </c>
      <c r="D282" s="1" t="n">
        <v>45980</v>
      </c>
      <c r="E282" s="1" t="n">
        <v>46216</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9375-2024</t>
        </is>
      </c>
      <c r="B283" t="inlineStr">
        <is>
          <t>avverkningsanmälan</t>
        </is>
      </c>
      <c r="C283" t="inlineStr">
        <is>
          <t>Föryngringsavverkning</t>
        </is>
      </c>
      <c r="D283" s="1" t="n">
        <v>45359</v>
      </c>
      <c r="E283" s="1" t="n">
        <v>46216</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38822-2024</t>
        </is>
      </c>
      <c r="B284" t="inlineStr">
        <is>
          <t>avverkningsanmälan</t>
        </is>
      </c>
      <c r="C284" t="inlineStr">
        <is>
          <t>Föryngringsavverkning</t>
        </is>
      </c>
      <c r="D284" s="1" t="n">
        <v>45547</v>
      </c>
      <c r="E284" s="1" t="n">
        <v>46216</v>
      </c>
      <c r="F284" t="inlineStr">
        <is>
          <t>VÄSTRA GÖTALANDS LÄN</t>
        </is>
      </c>
      <c r="G284" t="inlineStr">
        <is>
          <t>TRANEMO</t>
        </is>
      </c>
      <c r="H284" t="inlineStr">
        <is>
          <t>Sveaskog</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59452-2025</t>
        </is>
      </c>
      <c r="B285" t="inlineStr">
        <is>
          <t>avverkningsanmälan</t>
        </is>
      </c>
      <c r="C285" t="inlineStr">
        <is>
          <t>Föryngringsavverkning</t>
        </is>
      </c>
      <c r="D285" s="1" t="n">
        <v>45989</v>
      </c>
      <c r="E285" s="1" t="n">
        <v>46216</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s="2" t="inlineStr"/>
    </row>
    <row r="286" ht="15" customHeight="1">
      <c r="A286" t="inlineStr">
        <is>
          <t>A 60044-2025</t>
        </is>
      </c>
      <c r="B286" t="inlineStr">
        <is>
          <t>avverkningsanmälan</t>
        </is>
      </c>
      <c r="C286" t="inlineStr">
        <is>
          <t>Föryngringsavverkning</t>
        </is>
      </c>
      <c r="D286" s="1" t="n">
        <v>45993</v>
      </c>
      <c r="E286" s="1" t="n">
        <v>46216</v>
      </c>
      <c r="F286" t="inlineStr">
        <is>
          <t>VÄSTRA GÖTALANDS LÄN</t>
        </is>
      </c>
      <c r="G286" t="inlineStr">
        <is>
          <t>TRANEMO</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3770-2024</t>
        </is>
      </c>
      <c r="B287" t="inlineStr">
        <is>
          <t>avverkningsanmälan</t>
        </is>
      </c>
      <c r="C287" t="inlineStr">
        <is>
          <t>Föryngringsavverkning</t>
        </is>
      </c>
      <c r="D287" s="1" t="n">
        <v>45321</v>
      </c>
      <c r="E287" s="1" t="n">
        <v>46216</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60030-2025</t>
        </is>
      </c>
      <c r="B288" t="inlineStr">
        <is>
          <t>avverkningsanmälan</t>
        </is>
      </c>
      <c r="C288" t="inlineStr">
        <is>
          <t>Föryngringsavverkning</t>
        </is>
      </c>
      <c r="D288" s="1" t="n">
        <v>45993</v>
      </c>
      <c r="E288" s="1" t="n">
        <v>46216</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s="2" t="inlineStr"/>
    </row>
    <row r="289" ht="15" customHeight="1">
      <c r="A289" t="inlineStr">
        <is>
          <t>A 8108-2026</t>
        </is>
      </c>
      <c r="B289" t="inlineStr">
        <is>
          <t>avverkningsanmälan</t>
        </is>
      </c>
      <c r="C289" t="inlineStr">
        <is>
          <t>Avverkning för att bevara och utveckla /försöksver</t>
        </is>
      </c>
      <c r="D289" s="1" t="n">
        <v>46063</v>
      </c>
      <c r="E289" s="1" t="n">
        <v>46216</v>
      </c>
      <c r="F289" t="inlineStr">
        <is>
          <t>VÄSTRA GÖTALANDS LÄN</t>
        </is>
      </c>
      <c r="G289" t="inlineStr">
        <is>
          <t>TRANEMO</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18468-2024</t>
        </is>
      </c>
      <c r="B290" t="inlineStr">
        <is>
          <t>avverkningsanmälan</t>
        </is>
      </c>
      <c r="C290" t="inlineStr">
        <is>
          <t>Föryngringsavverkning</t>
        </is>
      </c>
      <c r="D290" s="1" t="n">
        <v>45425</v>
      </c>
      <c r="E290" s="1" t="n">
        <v>46216</v>
      </c>
      <c r="F290" t="inlineStr">
        <is>
          <t>VÄSTRA GÖTALANDS LÄN</t>
        </is>
      </c>
      <c r="G290" t="inlineStr">
        <is>
          <t>TRANEMO</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60263-2025</t>
        </is>
      </c>
      <c r="B291" t="inlineStr">
        <is>
          <t>avverkningsanmälan</t>
        </is>
      </c>
      <c r="C291" t="inlineStr">
        <is>
          <t>Föryngringsavverkning</t>
        </is>
      </c>
      <c r="D291" s="1" t="n">
        <v>45994</v>
      </c>
      <c r="E291" s="1" t="n">
        <v>46216</v>
      </c>
      <c r="F291" t="inlineStr">
        <is>
          <t>VÄSTRA GÖTALANDS LÄN</t>
        </is>
      </c>
      <c r="G291" t="inlineStr">
        <is>
          <t>TRANEMO</t>
        </is>
      </c>
      <c r="I291" t="n">
        <v>1.5</v>
      </c>
      <c r="J291" t="n">
        <v>0</v>
      </c>
      <c r="K291" t="n">
        <v>0</v>
      </c>
      <c r="L291" t="n">
        <v>0</v>
      </c>
      <c r="M291" t="n">
        <v>0</v>
      </c>
      <c r="N291" t="n">
        <v>0</v>
      </c>
      <c r="O291" t="n">
        <v>0</v>
      </c>
      <c r="P291" t="n">
        <v>0</v>
      </c>
      <c r="Q291" t="n">
        <v>0</v>
      </c>
      <c r="R291" t="n">
        <v>0</v>
      </c>
      <c r="S291" t="n">
        <v>0</v>
      </c>
      <c r="T291" t="n">
        <v>0</v>
      </c>
      <c r="U291" s="2" t="inlineStr"/>
    </row>
    <row r="292" ht="15" customHeight="1">
      <c r="A292" t="inlineStr">
        <is>
          <t>A 60264-2025</t>
        </is>
      </c>
      <c r="B292" t="inlineStr">
        <is>
          <t>avverkningsanmälan</t>
        </is>
      </c>
      <c r="C292" t="inlineStr">
        <is>
          <t>Föryngringsavverkning</t>
        </is>
      </c>
      <c r="D292" s="1" t="n">
        <v>45994</v>
      </c>
      <c r="E292" s="1" t="n">
        <v>46216</v>
      </c>
      <c r="F292" t="inlineStr">
        <is>
          <t>VÄSTRA GÖTALANDS LÄN</t>
        </is>
      </c>
      <c r="G292" t="inlineStr">
        <is>
          <t>TRANEMO</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27157-2023</t>
        </is>
      </c>
      <c r="B293" t="inlineStr">
        <is>
          <t>avverkningsanmälan</t>
        </is>
      </c>
      <c r="C293" t="inlineStr">
        <is>
          <t>Föryngringsavverkning</t>
        </is>
      </c>
      <c r="D293" s="1" t="n">
        <v>45096</v>
      </c>
      <c r="E293" s="1" t="n">
        <v>46216</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27162-2023</t>
        </is>
      </c>
      <c r="B294" t="inlineStr">
        <is>
          <t>avverkningsanmälan</t>
        </is>
      </c>
      <c r="C294" t="inlineStr">
        <is>
          <t>Föryngringsavverkning</t>
        </is>
      </c>
      <c r="D294" s="1" t="n">
        <v>45096</v>
      </c>
      <c r="E294" s="1" t="n">
        <v>46216</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50827-2022</t>
        </is>
      </c>
      <c r="B295" t="inlineStr">
        <is>
          <t>avverkningsanmälan</t>
        </is>
      </c>
      <c r="C295" t="inlineStr">
        <is>
          <t>Avverkning för annat ändamål</t>
        </is>
      </c>
      <c r="D295" s="1" t="n">
        <v>44867</v>
      </c>
      <c r="E295" s="1" t="n">
        <v>46216</v>
      </c>
      <c r="F295" t="inlineStr">
        <is>
          <t>VÄSTRA GÖTALANDS LÄN</t>
        </is>
      </c>
      <c r="G295" t="inlineStr">
        <is>
          <t>TRANEMO</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40175-2023</t>
        </is>
      </c>
      <c r="B296" t="inlineStr">
        <is>
          <t>avverkningsanmälan</t>
        </is>
      </c>
      <c r="C296" t="inlineStr">
        <is>
          <t>Föryngringsavverkning</t>
        </is>
      </c>
      <c r="D296" s="1" t="n">
        <v>45169</v>
      </c>
      <c r="E296" s="1" t="n">
        <v>46216</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3213-2025</t>
        </is>
      </c>
      <c r="B297" t="inlineStr">
        <is>
          <t>avverkningsanmälan</t>
        </is>
      </c>
      <c r="C297" t="inlineStr">
        <is>
          <t>Föryngringsavverkning</t>
        </is>
      </c>
      <c r="D297" s="1" t="n">
        <v>45679</v>
      </c>
      <c r="E297" s="1" t="n">
        <v>46216</v>
      </c>
      <c r="F297" t="inlineStr">
        <is>
          <t>VÄSTRA GÖTALANDS LÄN</t>
        </is>
      </c>
      <c r="G297" t="inlineStr">
        <is>
          <t>TRANEMO</t>
        </is>
      </c>
      <c r="I297" t="n">
        <v>6</v>
      </c>
      <c r="J297" t="n">
        <v>0</v>
      </c>
      <c r="K297" t="n">
        <v>0</v>
      </c>
      <c r="L297" t="n">
        <v>0</v>
      </c>
      <c r="M297" t="n">
        <v>0</v>
      </c>
      <c r="N297" t="n">
        <v>0</v>
      </c>
      <c r="O297" t="n">
        <v>0</v>
      </c>
      <c r="P297" t="n">
        <v>0</v>
      </c>
      <c r="Q297" t="n">
        <v>0</v>
      </c>
      <c r="R297" t="n">
        <v>0</v>
      </c>
      <c r="S297" t="n">
        <v>0</v>
      </c>
      <c r="T297" t="n">
        <v>0</v>
      </c>
      <c r="U297" s="2" t="inlineStr"/>
    </row>
    <row r="298" ht="15" customHeight="1">
      <c r="A298" t="inlineStr">
        <is>
          <t>A 14005-2025</t>
        </is>
      </c>
      <c r="B298" t="inlineStr">
        <is>
          <t>avverkningsanmälan</t>
        </is>
      </c>
      <c r="C298" t="inlineStr">
        <is>
          <t>Föryngringsavverkning</t>
        </is>
      </c>
      <c r="D298" s="1" t="n">
        <v>45740</v>
      </c>
      <c r="E298" s="1" t="n">
        <v>46216</v>
      </c>
      <c r="F298" t="inlineStr">
        <is>
          <t>VÄSTRA GÖTALANDS LÄN</t>
        </is>
      </c>
      <c r="G298" t="inlineStr">
        <is>
          <t>TRANEMO</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14011-2025</t>
        </is>
      </c>
      <c r="B299" t="inlineStr">
        <is>
          <t>avverkningsanmälan</t>
        </is>
      </c>
      <c r="C299" t="inlineStr">
        <is>
          <t>Föryngringsavverkning</t>
        </is>
      </c>
      <c r="D299" s="1" t="n">
        <v>45740</v>
      </c>
      <c r="E299" s="1" t="n">
        <v>46216</v>
      </c>
      <c r="F299" t="inlineStr">
        <is>
          <t>VÄSTRA GÖTALANDS LÄN</t>
        </is>
      </c>
      <c r="G299" t="inlineStr">
        <is>
          <t>TRANEMO</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61291-2025</t>
        </is>
      </c>
      <c r="B300" t="inlineStr">
        <is>
          <t>avverkningsanmälan</t>
        </is>
      </c>
      <c r="C300" t="inlineStr">
        <is>
          <t>Föryngringsavverkning</t>
        </is>
      </c>
      <c r="D300" s="1" t="n">
        <v>46000</v>
      </c>
      <c r="E300" s="1" t="n">
        <v>46216</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9621-2026</t>
        </is>
      </c>
      <c r="B301" t="inlineStr">
        <is>
          <t>avverkningsanmälan</t>
        </is>
      </c>
      <c r="C301" t="inlineStr">
        <is>
          <t>Föryngringsavverkning</t>
        </is>
      </c>
      <c r="D301" s="1" t="n">
        <v>46072</v>
      </c>
      <c r="E301" s="1" t="n">
        <v>46216</v>
      </c>
      <c r="F301" t="inlineStr">
        <is>
          <t>VÄSTRA GÖTALANDS LÄN</t>
        </is>
      </c>
      <c r="G301" t="inlineStr">
        <is>
          <t>TRANEMO</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29564-2024</t>
        </is>
      </c>
      <c r="B302" t="inlineStr">
        <is>
          <t>avverkningsanmälan</t>
        </is>
      </c>
      <c r="C302" t="inlineStr">
        <is>
          <t>Föryngringsavverkning</t>
        </is>
      </c>
      <c r="D302" s="1" t="n">
        <v>45484</v>
      </c>
      <c r="E302" s="1" t="n">
        <v>46216</v>
      </c>
      <c r="F302" t="inlineStr">
        <is>
          <t>VÄSTRA GÖTALANDS LÄN</t>
        </is>
      </c>
      <c r="G302" t="inlineStr">
        <is>
          <t>TRANEMO</t>
        </is>
      </c>
      <c r="I302" t="n">
        <v>3.1</v>
      </c>
      <c r="J302" t="n">
        <v>0</v>
      </c>
      <c r="K302" t="n">
        <v>0</v>
      </c>
      <c r="L302" t="n">
        <v>0</v>
      </c>
      <c r="M302" t="n">
        <v>0</v>
      </c>
      <c r="N302" t="n">
        <v>0</v>
      </c>
      <c r="O302" t="n">
        <v>0</v>
      </c>
      <c r="P302" t="n">
        <v>0</v>
      </c>
      <c r="Q302" t="n">
        <v>0</v>
      </c>
      <c r="R302" t="n">
        <v>0</v>
      </c>
      <c r="S302" t="n">
        <v>0</v>
      </c>
      <c r="T302" t="n">
        <v>0</v>
      </c>
      <c r="U302" s="2" t="inlineStr"/>
    </row>
    <row r="303" ht="15" customHeight="1">
      <c r="A303" t="inlineStr">
        <is>
          <t>A 8357-2023</t>
        </is>
      </c>
      <c r="B303" t="inlineStr">
        <is>
          <t>avverkningsanmälan</t>
        </is>
      </c>
      <c r="C303" t="inlineStr">
        <is>
          <t>Föryngringsavverkning</t>
        </is>
      </c>
      <c r="D303" s="1" t="n">
        <v>44977</v>
      </c>
      <c r="E303" s="1" t="n">
        <v>46216</v>
      </c>
      <c r="F303" t="inlineStr">
        <is>
          <t>VÄSTRA GÖTALANDS LÄN</t>
        </is>
      </c>
      <c r="G303" t="inlineStr">
        <is>
          <t>TRANEMO</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63177-2025</t>
        </is>
      </c>
      <c r="B304" t="inlineStr">
        <is>
          <t>avverkningsanmälan</t>
        </is>
      </c>
      <c r="C304" t="inlineStr">
        <is>
          <t>Föryngringsavverkning</t>
        </is>
      </c>
      <c r="D304" s="1" t="n">
        <v>46010</v>
      </c>
      <c r="E304" s="1" t="n">
        <v>46216</v>
      </c>
      <c r="F304" t="inlineStr">
        <is>
          <t>VÄSTRA GÖTALANDS LÄN</t>
        </is>
      </c>
      <c r="G304" t="inlineStr">
        <is>
          <t>TRANEMO</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63519-2025</t>
        </is>
      </c>
      <c r="B305" t="inlineStr">
        <is>
          <t>avverkningsanmälan</t>
        </is>
      </c>
      <c r="C305" t="inlineStr">
        <is>
          <t>Föryngringsavverkning</t>
        </is>
      </c>
      <c r="D305" s="1" t="n">
        <v>46013</v>
      </c>
      <c r="E305" s="1" t="n">
        <v>46216</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63558-2025</t>
        </is>
      </c>
      <c r="B306" t="inlineStr">
        <is>
          <t>avverkningsanmälan</t>
        </is>
      </c>
      <c r="C306" t="inlineStr">
        <is>
          <t>Föryngringsavverkning</t>
        </is>
      </c>
      <c r="D306" s="1" t="n">
        <v>46013</v>
      </c>
      <c r="E306" s="1" t="n">
        <v>46216</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63561-2025</t>
        </is>
      </c>
      <c r="B307" t="inlineStr">
        <is>
          <t>avverkningsanmälan</t>
        </is>
      </c>
      <c r="C307" t="inlineStr">
        <is>
          <t>Föryngringsavverkning</t>
        </is>
      </c>
      <c r="D307" s="1" t="n">
        <v>46013</v>
      </c>
      <c r="E307" s="1" t="n">
        <v>46216</v>
      </c>
      <c r="F307" t="inlineStr">
        <is>
          <t>VÄSTRA GÖTALANDS LÄN</t>
        </is>
      </c>
      <c r="G307" t="inlineStr">
        <is>
          <t>TRANEMO</t>
        </is>
      </c>
      <c r="I307" t="n">
        <v>4.6</v>
      </c>
      <c r="J307" t="n">
        <v>0</v>
      </c>
      <c r="K307" t="n">
        <v>0</v>
      </c>
      <c r="L307" t="n">
        <v>0</v>
      </c>
      <c r="M307" t="n">
        <v>0</v>
      </c>
      <c r="N307" t="n">
        <v>0</v>
      </c>
      <c r="O307" t="n">
        <v>0</v>
      </c>
      <c r="P307" t="n">
        <v>0</v>
      </c>
      <c r="Q307" t="n">
        <v>0</v>
      </c>
      <c r="R307" t="n">
        <v>0</v>
      </c>
      <c r="S307" t="n">
        <v>0</v>
      </c>
      <c r="T307" t="n">
        <v>0</v>
      </c>
      <c r="U307" s="2" t="inlineStr"/>
    </row>
    <row r="308" ht="15" customHeight="1">
      <c r="A308" t="inlineStr">
        <is>
          <t>A 63565-2025</t>
        </is>
      </c>
      <c r="B308" t="inlineStr">
        <is>
          <t>avverkningsanmälan</t>
        </is>
      </c>
      <c r="C308" t="inlineStr">
        <is>
          <t>Föryngringsavverkning</t>
        </is>
      </c>
      <c r="D308" s="1" t="n">
        <v>46013</v>
      </c>
      <c r="E308" s="1" t="n">
        <v>46216</v>
      </c>
      <c r="F308" t="inlineStr">
        <is>
          <t>VÄSTRA GÖTALANDS LÄN</t>
        </is>
      </c>
      <c r="G308" t="inlineStr">
        <is>
          <t>TRANEMO</t>
        </is>
      </c>
      <c r="I308" t="n">
        <v>5</v>
      </c>
      <c r="J308" t="n">
        <v>0</v>
      </c>
      <c r="K308" t="n">
        <v>0</v>
      </c>
      <c r="L308" t="n">
        <v>0</v>
      </c>
      <c r="M308" t="n">
        <v>0</v>
      </c>
      <c r="N308" t="n">
        <v>0</v>
      </c>
      <c r="O308" t="n">
        <v>0</v>
      </c>
      <c r="P308" t="n">
        <v>0</v>
      </c>
      <c r="Q308" t="n">
        <v>0</v>
      </c>
      <c r="R308" t="n">
        <v>0</v>
      </c>
      <c r="S308" t="n">
        <v>0</v>
      </c>
      <c r="T308" t="n">
        <v>0</v>
      </c>
      <c r="U308" s="2" t="inlineStr"/>
    </row>
    <row r="309" ht="15" customHeight="1">
      <c r="A309" t="inlineStr">
        <is>
          <t>A 9317-2025</t>
        </is>
      </c>
      <c r="B309" t="inlineStr">
        <is>
          <t>avverkningsanmälan</t>
        </is>
      </c>
      <c r="C309" t="inlineStr">
        <is>
          <t>Föryngringsavverkning</t>
        </is>
      </c>
      <c r="D309" s="1" t="n">
        <v>45714</v>
      </c>
      <c r="E309" s="1" t="n">
        <v>46216</v>
      </c>
      <c r="F309" t="inlineStr">
        <is>
          <t>VÄSTRA GÖTALANDS LÄN</t>
        </is>
      </c>
      <c r="G309" t="inlineStr">
        <is>
          <t>TRANEMO</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7652-2025</t>
        </is>
      </c>
      <c r="B310" t="inlineStr">
        <is>
          <t>avverkningsanmälan</t>
        </is>
      </c>
      <c r="C310" t="inlineStr">
        <is>
          <t>Föryngringsavverkning</t>
        </is>
      </c>
      <c r="D310" s="1" t="n">
        <v>45705</v>
      </c>
      <c r="E310" s="1" t="n">
        <v>46216</v>
      </c>
      <c r="F310" t="inlineStr">
        <is>
          <t>VÄSTRA GÖTALANDS LÄN</t>
        </is>
      </c>
      <c r="G310" t="inlineStr">
        <is>
          <t>TRANEMO</t>
        </is>
      </c>
      <c r="I310" t="n">
        <v>5.4</v>
      </c>
      <c r="J310" t="n">
        <v>0</v>
      </c>
      <c r="K310" t="n">
        <v>0</v>
      </c>
      <c r="L310" t="n">
        <v>0</v>
      </c>
      <c r="M310" t="n">
        <v>0</v>
      </c>
      <c r="N310" t="n">
        <v>0</v>
      </c>
      <c r="O310" t="n">
        <v>0</v>
      </c>
      <c r="P310" t="n">
        <v>0</v>
      </c>
      <c r="Q310" t="n">
        <v>0</v>
      </c>
      <c r="R310" t="n">
        <v>0</v>
      </c>
      <c r="S310" t="n">
        <v>0</v>
      </c>
      <c r="T310" t="n">
        <v>0</v>
      </c>
      <c r="U310" s="2" t="inlineStr"/>
    </row>
    <row r="311" ht="15" customHeight="1">
      <c r="A311" t="inlineStr">
        <is>
          <t>A 10440-2025</t>
        </is>
      </c>
      <c r="B311" t="inlineStr">
        <is>
          <t>avverkningsanmälan</t>
        </is>
      </c>
      <c r="C311" t="inlineStr">
        <is>
          <t>Föryngringsavverkning</t>
        </is>
      </c>
      <c r="D311" s="1" t="n">
        <v>45720</v>
      </c>
      <c r="E311" s="1" t="n">
        <v>46216</v>
      </c>
      <c r="F311" t="inlineStr">
        <is>
          <t>VÄSTRA GÖTALANDS LÄN</t>
        </is>
      </c>
      <c r="G311" t="inlineStr">
        <is>
          <t>TRANEMO</t>
        </is>
      </c>
      <c r="I311" t="n">
        <v>1.9</v>
      </c>
      <c r="J311" t="n">
        <v>0</v>
      </c>
      <c r="K311" t="n">
        <v>0</v>
      </c>
      <c r="L311" t="n">
        <v>0</v>
      </c>
      <c r="M311" t="n">
        <v>0</v>
      </c>
      <c r="N311" t="n">
        <v>0</v>
      </c>
      <c r="O311" t="n">
        <v>0</v>
      </c>
      <c r="P311" t="n">
        <v>0</v>
      </c>
      <c r="Q311" t="n">
        <v>0</v>
      </c>
      <c r="R311" t="n">
        <v>0</v>
      </c>
      <c r="S311" t="n">
        <v>0</v>
      </c>
      <c r="T311" t="n">
        <v>0</v>
      </c>
      <c r="U311" s="2" t="inlineStr"/>
    </row>
    <row r="312" ht="15" customHeight="1">
      <c r="A312" t="inlineStr">
        <is>
          <t>A 5843-2025</t>
        </is>
      </c>
      <c r="B312" t="inlineStr">
        <is>
          <t>avverkningsanmälan</t>
        </is>
      </c>
      <c r="C312" t="inlineStr">
        <is>
          <t>Föryngringsavverkning</t>
        </is>
      </c>
      <c r="D312" s="1" t="n">
        <v>45695</v>
      </c>
      <c r="E312" s="1" t="n">
        <v>46216</v>
      </c>
      <c r="F312" t="inlineStr">
        <is>
          <t>VÄSTRA GÖTALANDS LÄN</t>
        </is>
      </c>
      <c r="G312" t="inlineStr">
        <is>
          <t>TRANEMO</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8628-2025</t>
        </is>
      </c>
      <c r="B313" t="inlineStr">
        <is>
          <t>avverkningsanmälan</t>
        </is>
      </c>
      <c r="C313" t="inlineStr">
        <is>
          <t>Föryngringsavverkning</t>
        </is>
      </c>
      <c r="D313" s="1" t="n">
        <v>45711</v>
      </c>
      <c r="E313" s="1" t="n">
        <v>46216</v>
      </c>
      <c r="F313" t="inlineStr">
        <is>
          <t>VÄSTRA GÖTALANDS LÄN</t>
        </is>
      </c>
      <c r="G313" t="inlineStr">
        <is>
          <t>TRANEMO</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4686-2025</t>
        </is>
      </c>
      <c r="B314" t="inlineStr">
        <is>
          <t>avverkningsanmälan</t>
        </is>
      </c>
      <c r="C314" t="inlineStr">
        <is>
          <t>Föryngringsavverkning</t>
        </is>
      </c>
      <c r="D314" s="1" t="n">
        <v>45688</v>
      </c>
      <c r="E314" s="1" t="n">
        <v>46216</v>
      </c>
      <c r="F314" t="inlineStr">
        <is>
          <t>VÄSTRA GÖTALANDS LÄN</t>
        </is>
      </c>
      <c r="G314" t="inlineStr">
        <is>
          <t>TRANEMO</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60845-2024</t>
        </is>
      </c>
      <c r="B315" t="inlineStr">
        <is>
          <t>avverkningsanmälan</t>
        </is>
      </c>
      <c r="C315" t="inlineStr">
        <is>
          <t>Föryngringsavverkning</t>
        </is>
      </c>
      <c r="D315" s="1" t="n">
        <v>45644</v>
      </c>
      <c r="E315" s="1" t="n">
        <v>46216</v>
      </c>
      <c r="F315" t="inlineStr">
        <is>
          <t>VÄSTRA GÖTALANDS LÄN</t>
        </is>
      </c>
      <c r="G315" t="inlineStr">
        <is>
          <t>TRANEMO</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9534-2025</t>
        </is>
      </c>
      <c r="B316" t="inlineStr">
        <is>
          <t>avverkningsanmälan</t>
        </is>
      </c>
      <c r="C316" t="inlineStr">
        <is>
          <t>Föryngringsavverkning</t>
        </is>
      </c>
      <c r="D316" s="1" t="n">
        <v>45715</v>
      </c>
      <c r="E316" s="1" t="n">
        <v>46216</v>
      </c>
      <c r="F316" t="inlineStr">
        <is>
          <t>VÄSTRA GÖTALANDS LÄN</t>
        </is>
      </c>
      <c r="G316" t="inlineStr">
        <is>
          <t>TRANEMO</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49346-2023</t>
        </is>
      </c>
      <c r="B317" t="inlineStr">
        <is>
          <t>avverkningsanmälan</t>
        </is>
      </c>
      <c r="C317" t="inlineStr">
        <is>
          <t>Föryngringsavverkning</t>
        </is>
      </c>
      <c r="D317" s="1" t="n">
        <v>45211</v>
      </c>
      <c r="E317" s="1" t="n">
        <v>46216</v>
      </c>
      <c r="F317" t="inlineStr">
        <is>
          <t>VÄSTRA GÖTALANDS LÄN</t>
        </is>
      </c>
      <c r="G317" t="inlineStr">
        <is>
          <t>TRANEMO</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9315-2025</t>
        </is>
      </c>
      <c r="B318" t="inlineStr">
        <is>
          <t>avverkningsanmälan</t>
        </is>
      </c>
      <c r="C318" t="inlineStr">
        <is>
          <t>Föryngringsavverkning</t>
        </is>
      </c>
      <c r="D318" s="1" t="n">
        <v>45714</v>
      </c>
      <c r="E318" s="1" t="n">
        <v>46216</v>
      </c>
      <c r="F318" t="inlineStr">
        <is>
          <t>VÄSTRA GÖTALANDS LÄN</t>
        </is>
      </c>
      <c r="G318" t="inlineStr">
        <is>
          <t>TRANEMO</t>
        </is>
      </c>
      <c r="I318" t="n">
        <v>5.1</v>
      </c>
      <c r="J318" t="n">
        <v>0</v>
      </c>
      <c r="K318" t="n">
        <v>0</v>
      </c>
      <c r="L318" t="n">
        <v>0</v>
      </c>
      <c r="M318" t="n">
        <v>0</v>
      </c>
      <c r="N318" t="n">
        <v>0</v>
      </c>
      <c r="O318" t="n">
        <v>0</v>
      </c>
      <c r="P318" t="n">
        <v>0</v>
      </c>
      <c r="Q318" t="n">
        <v>0</v>
      </c>
      <c r="R318" t="n">
        <v>0</v>
      </c>
      <c r="S318" t="n">
        <v>0</v>
      </c>
      <c r="T318" t="n">
        <v>0</v>
      </c>
      <c r="U318" s="2" t="inlineStr"/>
    </row>
    <row r="319" ht="15" customHeight="1">
      <c r="A319" t="inlineStr">
        <is>
          <t>A 12169-2026</t>
        </is>
      </c>
      <c r="B319" t="inlineStr">
        <is>
          <t>avverkningsanmälan</t>
        </is>
      </c>
      <c r="C319" t="inlineStr">
        <is>
          <t>Föryngringsavverkning</t>
        </is>
      </c>
      <c r="D319" s="1" t="n">
        <v>46086</v>
      </c>
      <c r="E319" s="1" t="n">
        <v>46216</v>
      </c>
      <c r="F319" t="inlineStr">
        <is>
          <t>VÄSTRA GÖTALANDS LÄN</t>
        </is>
      </c>
      <c r="G319" t="inlineStr">
        <is>
          <t>TRANEMO</t>
        </is>
      </c>
      <c r="I319" t="n">
        <v>3</v>
      </c>
      <c r="J319" t="n">
        <v>0</v>
      </c>
      <c r="K319" t="n">
        <v>0</v>
      </c>
      <c r="L319" t="n">
        <v>0</v>
      </c>
      <c r="M319" t="n">
        <v>0</v>
      </c>
      <c r="N319" t="n">
        <v>0</v>
      </c>
      <c r="O319" t="n">
        <v>0</v>
      </c>
      <c r="P319" t="n">
        <v>0</v>
      </c>
      <c r="Q319" t="n">
        <v>0</v>
      </c>
      <c r="R319" t="n">
        <v>0</v>
      </c>
      <c r="S319" t="n">
        <v>0</v>
      </c>
      <c r="T319" t="n">
        <v>0</v>
      </c>
      <c r="U319" s="2" t="inlineStr"/>
    </row>
    <row r="320" ht="15" customHeight="1">
      <c r="A320" t="inlineStr">
        <is>
          <t>A 12157-2026</t>
        </is>
      </c>
      <c r="B320" t="inlineStr">
        <is>
          <t>avverkningsanmälan</t>
        </is>
      </c>
      <c r="C320" t="inlineStr">
        <is>
          <t>Föryngringsavverkning</t>
        </is>
      </c>
      <c r="D320" s="1" t="n">
        <v>46086</v>
      </c>
      <c r="E320" s="1" t="n">
        <v>46216</v>
      </c>
      <c r="F320" t="inlineStr">
        <is>
          <t>VÄSTRA GÖTALANDS LÄN</t>
        </is>
      </c>
      <c r="G320" t="inlineStr">
        <is>
          <t>TRANEMO</t>
        </is>
      </c>
      <c r="I320" t="n">
        <v>15.6</v>
      </c>
      <c r="J320" t="n">
        <v>0</v>
      </c>
      <c r="K320" t="n">
        <v>0</v>
      </c>
      <c r="L320" t="n">
        <v>0</v>
      </c>
      <c r="M320" t="n">
        <v>0</v>
      </c>
      <c r="N320" t="n">
        <v>0</v>
      </c>
      <c r="O320" t="n">
        <v>0</v>
      </c>
      <c r="P320" t="n">
        <v>0</v>
      </c>
      <c r="Q320" t="n">
        <v>0</v>
      </c>
      <c r="R320" t="n">
        <v>0</v>
      </c>
      <c r="S320" t="n">
        <v>0</v>
      </c>
      <c r="T320" t="n">
        <v>0</v>
      </c>
      <c r="U320" s="2" t="inlineStr"/>
    </row>
    <row r="321" ht="15" customHeight="1">
      <c r="A321" t="inlineStr">
        <is>
          <t>A 12167-2026</t>
        </is>
      </c>
      <c r="B321" t="inlineStr">
        <is>
          <t>avverkningsanmälan</t>
        </is>
      </c>
      <c r="C321" t="inlineStr">
        <is>
          <t>Föryngringsavverkning</t>
        </is>
      </c>
      <c r="D321" s="1" t="n">
        <v>46086</v>
      </c>
      <c r="E321" s="1" t="n">
        <v>46216</v>
      </c>
      <c r="F321" t="inlineStr">
        <is>
          <t>VÄSTRA GÖTALANDS LÄN</t>
        </is>
      </c>
      <c r="G321" t="inlineStr">
        <is>
          <t>TRANEMO</t>
        </is>
      </c>
      <c r="I321" t="n">
        <v>4.2</v>
      </c>
      <c r="J321" t="n">
        <v>0</v>
      </c>
      <c r="K321" t="n">
        <v>0</v>
      </c>
      <c r="L321" t="n">
        <v>0</v>
      </c>
      <c r="M321" t="n">
        <v>0</v>
      </c>
      <c r="N321" t="n">
        <v>0</v>
      </c>
      <c r="O321" t="n">
        <v>0</v>
      </c>
      <c r="P321" t="n">
        <v>0</v>
      </c>
      <c r="Q321" t="n">
        <v>0</v>
      </c>
      <c r="R321" t="n">
        <v>0</v>
      </c>
      <c r="S321" t="n">
        <v>0</v>
      </c>
      <c r="T321" t="n">
        <v>0</v>
      </c>
      <c r="U321" s="2" t="inlineStr"/>
    </row>
    <row r="322" ht="15" customHeight="1">
      <c r="A322" t="inlineStr">
        <is>
          <t>A 12171-2026</t>
        </is>
      </c>
      <c r="B322" t="inlineStr">
        <is>
          <t>avverkningsanmälan</t>
        </is>
      </c>
      <c r="C322" t="inlineStr">
        <is>
          <t>Föryngringsavverkning</t>
        </is>
      </c>
      <c r="D322" s="1" t="n">
        <v>46086</v>
      </c>
      <c r="E322" s="1" t="n">
        <v>46216</v>
      </c>
      <c r="F322" t="inlineStr">
        <is>
          <t>VÄSTRA GÖTALANDS LÄN</t>
        </is>
      </c>
      <c r="G322" t="inlineStr">
        <is>
          <t>TRANEMO</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2878-2024</t>
        </is>
      </c>
      <c r="B323" t="inlineStr">
        <is>
          <t>avverkningsanmälan</t>
        </is>
      </c>
      <c r="C323" t="inlineStr">
        <is>
          <t>Föryngringsavverkning</t>
        </is>
      </c>
      <c r="D323" s="1" t="n">
        <v>45315</v>
      </c>
      <c r="E323" s="1" t="n">
        <v>46216</v>
      </c>
      <c r="F323" t="inlineStr">
        <is>
          <t>VÄSTRA GÖTALANDS LÄN</t>
        </is>
      </c>
      <c r="G323" t="inlineStr">
        <is>
          <t>TRANEMO</t>
        </is>
      </c>
      <c r="I323" t="n">
        <v>6.9</v>
      </c>
      <c r="J323" t="n">
        <v>0</v>
      </c>
      <c r="K323" t="n">
        <v>0</v>
      </c>
      <c r="L323" t="n">
        <v>0</v>
      </c>
      <c r="M323" t="n">
        <v>0</v>
      </c>
      <c r="N323" t="n">
        <v>0</v>
      </c>
      <c r="O323" t="n">
        <v>0</v>
      </c>
      <c r="P323" t="n">
        <v>0</v>
      </c>
      <c r="Q323" t="n">
        <v>0</v>
      </c>
      <c r="R323" t="n">
        <v>0</v>
      </c>
      <c r="S323" t="n">
        <v>0</v>
      </c>
      <c r="T323" t="n">
        <v>0</v>
      </c>
      <c r="U323" s="2" t="inlineStr"/>
    </row>
    <row r="324" ht="15" customHeight="1">
      <c r="A324" t="inlineStr">
        <is>
          <t>A 2919-2024</t>
        </is>
      </c>
      <c r="B324" t="inlineStr">
        <is>
          <t>avverkningsanmälan</t>
        </is>
      </c>
      <c r="C324" t="inlineStr">
        <is>
          <t>Föryngringsavverkning</t>
        </is>
      </c>
      <c r="D324" s="1" t="n">
        <v>45315</v>
      </c>
      <c r="E324" s="1" t="n">
        <v>46216</v>
      </c>
      <c r="F324" t="inlineStr">
        <is>
          <t>VÄSTRA GÖTALANDS LÄN</t>
        </is>
      </c>
      <c r="G324" t="inlineStr">
        <is>
          <t>TRANEMO</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5852-2023</t>
        </is>
      </c>
      <c r="B325" t="inlineStr">
        <is>
          <t>avverkningsanmälan</t>
        </is>
      </c>
      <c r="C325" t="inlineStr">
        <is>
          <t>Föryngringsavverkning</t>
        </is>
      </c>
      <c r="D325" s="1" t="n">
        <v>44963</v>
      </c>
      <c r="E325" s="1" t="n">
        <v>46216</v>
      </c>
      <c r="F325" t="inlineStr">
        <is>
          <t>VÄSTRA GÖTALANDS LÄN</t>
        </is>
      </c>
      <c r="G325" t="inlineStr">
        <is>
          <t>TRANEMO</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4966-2024</t>
        </is>
      </c>
      <c r="B326" t="inlineStr">
        <is>
          <t>avverkningsanmälan</t>
        </is>
      </c>
      <c r="C326" t="inlineStr">
        <is>
          <t>Föryngringsavverkning</t>
        </is>
      </c>
      <c r="D326" s="1" t="n">
        <v>45329</v>
      </c>
      <c r="E326" s="1" t="n">
        <v>46216</v>
      </c>
      <c r="F326" t="inlineStr">
        <is>
          <t>VÄSTRA GÖTALANDS LÄN</t>
        </is>
      </c>
      <c r="G326" t="inlineStr">
        <is>
          <t>TRANEMO</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12489-2026</t>
        </is>
      </c>
      <c r="B327" t="inlineStr">
        <is>
          <t>avverkningsanmälan</t>
        </is>
      </c>
      <c r="C327" t="inlineStr">
        <is>
          <t>Föryngringsavverkning</t>
        </is>
      </c>
      <c r="D327" s="1" t="n">
        <v>46090</v>
      </c>
      <c r="E327" s="1" t="n">
        <v>46216</v>
      </c>
      <c r="F327" t="inlineStr">
        <is>
          <t>VÄSTRA GÖTALANDS LÄN</t>
        </is>
      </c>
      <c r="G327" t="inlineStr">
        <is>
          <t>TRANEMO</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12495-2026</t>
        </is>
      </c>
      <c r="B328" t="inlineStr">
        <is>
          <t>avverkningsanmälan</t>
        </is>
      </c>
      <c r="C328" t="inlineStr">
        <is>
          <t>Föryngringsavverkning</t>
        </is>
      </c>
      <c r="D328" s="1" t="n">
        <v>46090</v>
      </c>
      <c r="E328" s="1" t="n">
        <v>46216</v>
      </c>
      <c r="F328" t="inlineStr">
        <is>
          <t>VÄSTRA GÖTALANDS LÄN</t>
        </is>
      </c>
      <c r="G328" t="inlineStr">
        <is>
          <t>TRANEMO</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66781-2021</t>
        </is>
      </c>
      <c r="B329" t="inlineStr">
        <is>
          <t>avverkningsanmälan</t>
        </is>
      </c>
      <c r="C329" t="inlineStr">
        <is>
          <t>Föryngringsavverkning</t>
        </is>
      </c>
      <c r="D329" s="1" t="n">
        <v>44522</v>
      </c>
      <c r="E329" s="1" t="n">
        <v>46216</v>
      </c>
      <c r="F329" t="inlineStr">
        <is>
          <t>VÄSTRA GÖTALANDS LÄN</t>
        </is>
      </c>
      <c r="G329" t="inlineStr">
        <is>
          <t>TRANEMO</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12809-2026</t>
        </is>
      </c>
      <c r="B330" t="inlineStr">
        <is>
          <t>avverkningsanmälan</t>
        </is>
      </c>
      <c r="C330" t="inlineStr">
        <is>
          <t>Föryngringsavverkning</t>
        </is>
      </c>
      <c r="D330" s="1" t="n">
        <v>46092</v>
      </c>
      <c r="E330" s="1" t="n">
        <v>46216</v>
      </c>
      <c r="F330" t="inlineStr">
        <is>
          <t>VÄSTRA GÖTALANDS LÄN</t>
        </is>
      </c>
      <c r="G330" t="inlineStr">
        <is>
          <t>TRANEMO</t>
        </is>
      </c>
      <c r="I330" t="n">
        <v>3</v>
      </c>
      <c r="J330" t="n">
        <v>0</v>
      </c>
      <c r="K330" t="n">
        <v>0</v>
      </c>
      <c r="L330" t="n">
        <v>0</v>
      </c>
      <c r="M330" t="n">
        <v>0</v>
      </c>
      <c r="N330" t="n">
        <v>0</v>
      </c>
      <c r="O330" t="n">
        <v>0</v>
      </c>
      <c r="P330" t="n">
        <v>0</v>
      </c>
      <c r="Q330" t="n">
        <v>0</v>
      </c>
      <c r="R330" t="n">
        <v>0</v>
      </c>
      <c r="S330" t="n">
        <v>0</v>
      </c>
      <c r="T330" t="n">
        <v>0</v>
      </c>
      <c r="U330" s="2" t="inlineStr"/>
    </row>
    <row r="331" ht="15" customHeight="1">
      <c r="A331" t="inlineStr">
        <is>
          <t>A 50518-2022</t>
        </is>
      </c>
      <c r="B331" t="inlineStr">
        <is>
          <t>avverkningsanmälan</t>
        </is>
      </c>
      <c r="C331" t="inlineStr">
        <is>
          <t>Föryngringsavverkning</t>
        </is>
      </c>
      <c r="D331" s="1" t="n">
        <v>44866</v>
      </c>
      <c r="E331" s="1" t="n">
        <v>46216</v>
      </c>
      <c r="F331" t="inlineStr">
        <is>
          <t>VÄSTRA GÖTALANDS LÄN</t>
        </is>
      </c>
      <c r="G331" t="inlineStr">
        <is>
          <t>TRANEMO</t>
        </is>
      </c>
      <c r="H331" t="inlineStr">
        <is>
          <t>Sveaskog</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43927-2022</t>
        </is>
      </c>
      <c r="B332" t="inlineStr">
        <is>
          <t>avverkningsanmälan</t>
        </is>
      </c>
      <c r="C332" t="inlineStr">
        <is>
          <t>Föryngringsavverkning</t>
        </is>
      </c>
      <c r="D332" s="1" t="n">
        <v>44838</v>
      </c>
      <c r="E332" s="1" t="n">
        <v>46216</v>
      </c>
      <c r="F332" t="inlineStr">
        <is>
          <t>VÄSTRA GÖTALANDS LÄN</t>
        </is>
      </c>
      <c r="G332" t="inlineStr">
        <is>
          <t>TRANEMO</t>
        </is>
      </c>
      <c r="I332" t="n">
        <v>2.3</v>
      </c>
      <c r="J332" t="n">
        <v>0</v>
      </c>
      <c r="K332" t="n">
        <v>0</v>
      </c>
      <c r="L332" t="n">
        <v>0</v>
      </c>
      <c r="M332" t="n">
        <v>0</v>
      </c>
      <c r="N332" t="n">
        <v>0</v>
      </c>
      <c r="O332" t="n">
        <v>0</v>
      </c>
      <c r="P332" t="n">
        <v>0</v>
      </c>
      <c r="Q332" t="n">
        <v>0</v>
      </c>
      <c r="R332" t="n">
        <v>0</v>
      </c>
      <c r="S332" t="n">
        <v>0</v>
      </c>
      <c r="T332" t="n">
        <v>0</v>
      </c>
      <c r="U332" s="2" t="inlineStr"/>
    </row>
    <row r="333" ht="15" customHeight="1">
      <c r="A333" t="inlineStr">
        <is>
          <t>A 14126-2026</t>
        </is>
      </c>
      <c r="B333" t="inlineStr">
        <is>
          <t>avverkningsanmälan</t>
        </is>
      </c>
      <c r="C333" t="inlineStr">
        <is>
          <t>Föryngringsavverkning</t>
        </is>
      </c>
      <c r="D333" s="1" t="n">
        <v>46099</v>
      </c>
      <c r="E333" s="1" t="n">
        <v>46216</v>
      </c>
      <c r="F333" t="inlineStr">
        <is>
          <t>VÄSTRA GÖTALANDS LÄN</t>
        </is>
      </c>
      <c r="G333" t="inlineStr">
        <is>
          <t>TRANEMO</t>
        </is>
      </c>
      <c r="I333" t="n">
        <v>4.9</v>
      </c>
      <c r="J333" t="n">
        <v>0</v>
      </c>
      <c r="K333" t="n">
        <v>0</v>
      </c>
      <c r="L333" t="n">
        <v>0</v>
      </c>
      <c r="M333" t="n">
        <v>0</v>
      </c>
      <c r="N333" t="n">
        <v>0</v>
      </c>
      <c r="O333" t="n">
        <v>0</v>
      </c>
      <c r="P333" t="n">
        <v>0</v>
      </c>
      <c r="Q333" t="n">
        <v>0</v>
      </c>
      <c r="R333" t="n">
        <v>0</v>
      </c>
      <c r="S333" t="n">
        <v>0</v>
      </c>
      <c r="T333" t="n">
        <v>0</v>
      </c>
      <c r="U333" s="2" t="inlineStr"/>
    </row>
    <row r="334" ht="15" customHeight="1">
      <c r="A334" t="inlineStr">
        <is>
          <t>A 40931-2024</t>
        </is>
      </c>
      <c r="B334" t="inlineStr">
        <is>
          <t>avverkningsanmälan</t>
        </is>
      </c>
      <c r="C334" t="inlineStr">
        <is>
          <t>Föryngringsavverkning</t>
        </is>
      </c>
      <c r="D334" s="1" t="n">
        <v>45558</v>
      </c>
      <c r="E334" s="1" t="n">
        <v>46216</v>
      </c>
      <c r="F334" t="inlineStr">
        <is>
          <t>VÄSTRA GÖTALANDS LÄN</t>
        </is>
      </c>
      <c r="G334" t="inlineStr">
        <is>
          <t>TRANEMO</t>
        </is>
      </c>
      <c r="I334" t="n">
        <v>2.9</v>
      </c>
      <c r="J334" t="n">
        <v>0</v>
      </c>
      <c r="K334" t="n">
        <v>0</v>
      </c>
      <c r="L334" t="n">
        <v>0</v>
      </c>
      <c r="M334" t="n">
        <v>0</v>
      </c>
      <c r="N334" t="n">
        <v>0</v>
      </c>
      <c r="O334" t="n">
        <v>0</v>
      </c>
      <c r="P334" t="n">
        <v>0</v>
      </c>
      <c r="Q334" t="n">
        <v>0</v>
      </c>
      <c r="R334" t="n">
        <v>0</v>
      </c>
      <c r="S334" t="n">
        <v>0</v>
      </c>
      <c r="T334" t="n">
        <v>0</v>
      </c>
      <c r="U334" s="2" t="inlineStr"/>
    </row>
    <row r="335" ht="15" customHeight="1">
      <c r="A335" t="inlineStr">
        <is>
          <t>A 5056-2023</t>
        </is>
      </c>
      <c r="B335" t="inlineStr">
        <is>
          <t>avverkningsanmälan</t>
        </is>
      </c>
      <c r="C335" t="inlineStr">
        <is>
          <t>Föryngringsavverkning</t>
        </is>
      </c>
      <c r="D335" s="1" t="n">
        <v>44958</v>
      </c>
      <c r="E335" s="1" t="n">
        <v>46216</v>
      </c>
      <c r="F335" t="inlineStr">
        <is>
          <t>VÄSTRA GÖTALANDS LÄN</t>
        </is>
      </c>
      <c r="G335" t="inlineStr">
        <is>
          <t>TRANEMO</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2233-2022</t>
        </is>
      </c>
      <c r="B336" t="inlineStr">
        <is>
          <t>avverkningsanmälan</t>
        </is>
      </c>
      <c r="C336" t="inlineStr">
        <is>
          <t>Föryngringsavverkning</t>
        </is>
      </c>
      <c r="D336" s="1" t="n">
        <v>44578</v>
      </c>
      <c r="E336" s="1" t="n">
        <v>46216</v>
      </c>
      <c r="F336" t="inlineStr">
        <is>
          <t>VÄSTRA GÖTALANDS LÄN</t>
        </is>
      </c>
      <c r="G336" t="inlineStr">
        <is>
          <t>TRANEMO</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38437-2024</t>
        </is>
      </c>
      <c r="B337" t="inlineStr">
        <is>
          <t>avverkningsanmälan</t>
        </is>
      </c>
      <c r="C337" t="inlineStr">
        <is>
          <t>Föryngringsavverkning</t>
        </is>
      </c>
      <c r="D337" s="1" t="n">
        <v>45546</v>
      </c>
      <c r="E337" s="1" t="n">
        <v>46216</v>
      </c>
      <c r="F337" t="inlineStr">
        <is>
          <t>VÄSTRA GÖTALANDS LÄN</t>
        </is>
      </c>
      <c r="G337" t="inlineStr">
        <is>
          <t>TRANEMO</t>
        </is>
      </c>
      <c r="I337" t="n">
        <v>4.5</v>
      </c>
      <c r="J337" t="n">
        <v>0</v>
      </c>
      <c r="K337" t="n">
        <v>0</v>
      </c>
      <c r="L337" t="n">
        <v>0</v>
      </c>
      <c r="M337" t="n">
        <v>0</v>
      </c>
      <c r="N337" t="n">
        <v>0</v>
      </c>
      <c r="O337" t="n">
        <v>0</v>
      </c>
      <c r="P337" t="n">
        <v>0</v>
      </c>
      <c r="Q337" t="n">
        <v>0</v>
      </c>
      <c r="R337" t="n">
        <v>0</v>
      </c>
      <c r="S337" t="n">
        <v>0</v>
      </c>
      <c r="T337" t="n">
        <v>0</v>
      </c>
      <c r="U337" s="2" t="inlineStr"/>
    </row>
    <row r="338" ht="15" customHeight="1">
      <c r="A338" t="inlineStr">
        <is>
          <t>A 22659-2025</t>
        </is>
      </c>
      <c r="B338" t="inlineStr">
        <is>
          <t>avverkningsanmälan</t>
        </is>
      </c>
      <c r="C338" t="inlineStr">
        <is>
          <t>Föryngringsavverkning</t>
        </is>
      </c>
      <c r="D338" s="1" t="n">
        <v>45789</v>
      </c>
      <c r="E338" s="1" t="n">
        <v>46216</v>
      </c>
      <c r="F338" t="inlineStr">
        <is>
          <t>VÄSTRA GÖTALANDS LÄN</t>
        </is>
      </c>
      <c r="G338" t="inlineStr">
        <is>
          <t>TRANEMO</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9368-2024</t>
        </is>
      </c>
      <c r="B339" t="inlineStr">
        <is>
          <t>avverkningsanmälan</t>
        </is>
      </c>
      <c r="C339" t="inlineStr">
        <is>
          <t>Föryngringsavverkning</t>
        </is>
      </c>
      <c r="D339" s="1" t="n">
        <v>45359</v>
      </c>
      <c r="E339" s="1" t="n">
        <v>46216</v>
      </c>
      <c r="F339" t="inlineStr">
        <is>
          <t>VÄSTRA GÖTALANDS LÄN</t>
        </is>
      </c>
      <c r="G339" t="inlineStr">
        <is>
          <t>TRANEMO</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15005-2026</t>
        </is>
      </c>
      <c r="B340" t="inlineStr">
        <is>
          <t>avverkningsanmälan</t>
        </is>
      </c>
      <c r="C340" t="inlineStr">
        <is>
          <t>Föryngringsavverkning</t>
        </is>
      </c>
      <c r="D340" s="1" t="n">
        <v>46104</v>
      </c>
      <c r="E340" s="1" t="n">
        <v>46216</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6778-2024</t>
        </is>
      </c>
      <c r="B341" t="inlineStr">
        <is>
          <t>avverkningsanmälan</t>
        </is>
      </c>
      <c r="C341" t="inlineStr">
        <is>
          <t>Föryngringsavverkning</t>
        </is>
      </c>
      <c r="D341" s="1" t="n">
        <v>45342</v>
      </c>
      <c r="E341" s="1" t="n">
        <v>46216</v>
      </c>
      <c r="F341" t="inlineStr">
        <is>
          <t>VÄSTRA GÖTALANDS LÄN</t>
        </is>
      </c>
      <c r="G341" t="inlineStr">
        <is>
          <t>TRANEMO</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17124-2023</t>
        </is>
      </c>
      <c r="B342" t="inlineStr">
        <is>
          <t>avverkningsanmälan</t>
        </is>
      </c>
      <c r="C342" t="inlineStr">
        <is>
          <t>Föryngringsavverkning</t>
        </is>
      </c>
      <c r="D342" s="1" t="n">
        <v>45034</v>
      </c>
      <c r="E342" s="1" t="n">
        <v>46216</v>
      </c>
      <c r="F342" t="inlineStr">
        <is>
          <t>VÄSTRA GÖTALANDS LÄN</t>
        </is>
      </c>
      <c r="G342" t="inlineStr">
        <is>
          <t>TRANEMO</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42116-2023</t>
        </is>
      </c>
      <c r="B343" t="inlineStr">
        <is>
          <t>avverkningsanmälan</t>
        </is>
      </c>
      <c r="C343" t="inlineStr">
        <is>
          <t>Föryngringsavverkning</t>
        </is>
      </c>
      <c r="D343" s="1" t="n">
        <v>45174</v>
      </c>
      <c r="E343" s="1" t="n">
        <v>46216</v>
      </c>
      <c r="F343" t="inlineStr">
        <is>
          <t>VÄSTRA GÖTALANDS LÄN</t>
        </is>
      </c>
      <c r="G343" t="inlineStr">
        <is>
          <t>TRANEMO</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15155-2026</t>
        </is>
      </c>
      <c r="B344" t="inlineStr">
        <is>
          <t>avverkningsanmälan</t>
        </is>
      </c>
      <c r="C344" t="inlineStr">
        <is>
          <t>Föryngringsavverkning</t>
        </is>
      </c>
      <c r="D344" s="1" t="n">
        <v>46105</v>
      </c>
      <c r="E344" s="1" t="n">
        <v>46216</v>
      </c>
      <c r="F344" t="inlineStr">
        <is>
          <t>VÄSTRA GÖTALANDS LÄN</t>
        </is>
      </c>
      <c r="G344" t="inlineStr">
        <is>
          <t>TRANEMO</t>
        </is>
      </c>
      <c r="H344" t="inlineStr">
        <is>
          <t>Kyrkan</t>
        </is>
      </c>
      <c r="I344" t="n">
        <v>7.1</v>
      </c>
      <c r="J344" t="n">
        <v>0</v>
      </c>
      <c r="K344" t="n">
        <v>0</v>
      </c>
      <c r="L344" t="n">
        <v>0</v>
      </c>
      <c r="M344" t="n">
        <v>0</v>
      </c>
      <c r="N344" t="n">
        <v>0</v>
      </c>
      <c r="O344" t="n">
        <v>0</v>
      </c>
      <c r="P344" t="n">
        <v>0</v>
      </c>
      <c r="Q344" t="n">
        <v>0</v>
      </c>
      <c r="R344" t="n">
        <v>0</v>
      </c>
      <c r="S344" t="n">
        <v>0</v>
      </c>
      <c r="T344" t="n">
        <v>0</v>
      </c>
      <c r="U344" s="2" t="inlineStr"/>
    </row>
    <row r="345" ht="15" customHeight="1">
      <c r="A345" t="inlineStr">
        <is>
          <t>A 47424-2021</t>
        </is>
      </c>
      <c r="B345" t="inlineStr">
        <is>
          <t>avverkningsanmälan</t>
        </is>
      </c>
      <c r="C345" t="inlineStr">
        <is>
          <t>Föryngringsavverkning</t>
        </is>
      </c>
      <c r="D345" s="1" t="n">
        <v>44447</v>
      </c>
      <c r="E345" s="1" t="n">
        <v>46216</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20299-2025</t>
        </is>
      </c>
      <c r="B346" t="inlineStr">
        <is>
          <t>avverkningsanmälan</t>
        </is>
      </c>
      <c r="C346" t="inlineStr">
        <is>
          <t>Föryngringsavverkning</t>
        </is>
      </c>
      <c r="D346" s="1" t="n">
        <v>45774</v>
      </c>
      <c r="E346" s="1" t="n">
        <v>46216</v>
      </c>
      <c r="F346" t="inlineStr">
        <is>
          <t>VÄSTRA GÖTALANDS LÄN</t>
        </is>
      </c>
      <c r="G346" t="inlineStr">
        <is>
          <t>TRANEMO</t>
        </is>
      </c>
      <c r="H346" t="inlineStr">
        <is>
          <t>Kyrkan</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16438-2026</t>
        </is>
      </c>
      <c r="B347" t="inlineStr">
        <is>
          <t>avverkningsanmälan</t>
        </is>
      </c>
      <c r="C347" t="inlineStr">
        <is>
          <t>Föryngringsavverkning</t>
        </is>
      </c>
      <c r="D347" s="1" t="n">
        <v>46111</v>
      </c>
      <c r="E347" s="1" t="n">
        <v>46216</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5033-2023</t>
        </is>
      </c>
      <c r="B348" t="inlineStr">
        <is>
          <t>avverkningsanmälan</t>
        </is>
      </c>
      <c r="C348" t="inlineStr">
        <is>
          <t>Föryngringsavverkning</t>
        </is>
      </c>
      <c r="D348" s="1" t="n">
        <v>44958</v>
      </c>
      <c r="E348" s="1" t="n">
        <v>46216</v>
      </c>
      <c r="F348" t="inlineStr">
        <is>
          <t>VÄSTRA GÖTALANDS LÄN</t>
        </is>
      </c>
      <c r="G348" t="inlineStr">
        <is>
          <t>TRANEMO</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10867-2025</t>
        </is>
      </c>
      <c r="B349" t="inlineStr">
        <is>
          <t>avverkningsanmälan</t>
        </is>
      </c>
      <c r="C349" t="inlineStr">
        <is>
          <t>Föryngringsavverkning</t>
        </is>
      </c>
      <c r="D349" s="1" t="n">
        <v>45722</v>
      </c>
      <c r="E349" s="1" t="n">
        <v>46216</v>
      </c>
      <c r="F349" t="inlineStr">
        <is>
          <t>VÄSTRA GÖTALANDS LÄN</t>
        </is>
      </c>
      <c r="G349" t="inlineStr">
        <is>
          <t>TRANEMO</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15205-2022</t>
        </is>
      </c>
      <c r="B350" t="inlineStr">
        <is>
          <t>avverkningsanmälan</t>
        </is>
      </c>
      <c r="C350" t="inlineStr">
        <is>
          <t>Föryngringsavverkning</t>
        </is>
      </c>
      <c r="D350" s="1" t="n">
        <v>44658</v>
      </c>
      <c r="E350" s="1" t="n">
        <v>46216</v>
      </c>
      <c r="F350" t="inlineStr">
        <is>
          <t>VÄSTRA GÖTALANDS LÄN</t>
        </is>
      </c>
      <c r="G350" t="inlineStr">
        <is>
          <t>TRANEMO</t>
        </is>
      </c>
      <c r="I350" t="n">
        <v>3.6</v>
      </c>
      <c r="J350" t="n">
        <v>0</v>
      </c>
      <c r="K350" t="n">
        <v>0</v>
      </c>
      <c r="L350" t="n">
        <v>0</v>
      </c>
      <c r="M350" t="n">
        <v>0</v>
      </c>
      <c r="N350" t="n">
        <v>0</v>
      </c>
      <c r="O350" t="n">
        <v>0</v>
      </c>
      <c r="P350" t="n">
        <v>0</v>
      </c>
      <c r="Q350" t="n">
        <v>0</v>
      </c>
      <c r="R350" t="n">
        <v>0</v>
      </c>
      <c r="S350" t="n">
        <v>0</v>
      </c>
      <c r="T350" t="n">
        <v>0</v>
      </c>
      <c r="U350" s="2" t="inlineStr"/>
    </row>
    <row r="351" ht="15" customHeight="1">
      <c r="A351" t="inlineStr">
        <is>
          <t>A 56027-2024</t>
        </is>
      </c>
      <c r="B351" t="inlineStr">
        <is>
          <t>avverkningsanmälan</t>
        </is>
      </c>
      <c r="C351" t="inlineStr">
        <is>
          <t>Föryngringsavverkning</t>
        </is>
      </c>
      <c r="D351" s="1" t="n">
        <v>45624</v>
      </c>
      <c r="E351" s="1" t="n">
        <v>46216</v>
      </c>
      <c r="F351" t="inlineStr">
        <is>
          <t>VÄSTRA GÖTALANDS LÄN</t>
        </is>
      </c>
      <c r="G351" t="inlineStr">
        <is>
          <t>TRANEMO</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11873-2024</t>
        </is>
      </c>
      <c r="B352" t="inlineStr">
        <is>
          <t>avverkningsanmälan</t>
        </is>
      </c>
      <c r="C352" t="inlineStr">
        <is>
          <t>Föryngringsavverkning</t>
        </is>
      </c>
      <c r="D352" s="1" t="n">
        <v>45376</v>
      </c>
      <c r="E352" s="1" t="n">
        <v>46216</v>
      </c>
      <c r="F352" t="inlineStr">
        <is>
          <t>VÄSTRA GÖTALANDS LÄN</t>
        </is>
      </c>
      <c r="G352" t="inlineStr">
        <is>
          <t>TRANEMO</t>
        </is>
      </c>
      <c r="H352" t="inlineStr">
        <is>
          <t>Kyrkan</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7088-2023</t>
        </is>
      </c>
      <c r="B353" t="inlineStr">
        <is>
          <t>avverkningsanmälan</t>
        </is>
      </c>
      <c r="C353" t="inlineStr">
        <is>
          <t>Föryngringsavverkning</t>
        </is>
      </c>
      <c r="D353" s="1" t="n">
        <v>44970</v>
      </c>
      <c r="E353" s="1" t="n">
        <v>46216</v>
      </c>
      <c r="F353" t="inlineStr">
        <is>
          <t>VÄSTRA GÖTALANDS LÄN</t>
        </is>
      </c>
      <c r="G353" t="inlineStr">
        <is>
          <t>TRANEMO</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9991-2024</t>
        </is>
      </c>
      <c r="B354" t="inlineStr">
        <is>
          <t>avverkningsanmälan</t>
        </is>
      </c>
      <c r="C354" t="inlineStr">
        <is>
          <t>Föryngringsavverkning</t>
        </is>
      </c>
      <c r="D354" s="1" t="n">
        <v>45363</v>
      </c>
      <c r="E354" s="1" t="n">
        <v>46216</v>
      </c>
      <c r="F354" t="inlineStr">
        <is>
          <t>VÄSTRA GÖTALANDS LÄN</t>
        </is>
      </c>
      <c r="G354" t="inlineStr">
        <is>
          <t>TRANEMO</t>
        </is>
      </c>
      <c r="H354" t="inlineStr">
        <is>
          <t>Kyrkan</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27186-2023</t>
        </is>
      </c>
      <c r="B355" t="inlineStr">
        <is>
          <t>avverkningsanmälan</t>
        </is>
      </c>
      <c r="C355" t="inlineStr">
        <is>
          <t>Föryngringsavverkning</t>
        </is>
      </c>
      <c r="D355" s="1" t="n">
        <v>45096</v>
      </c>
      <c r="E355" s="1" t="n">
        <v>46216</v>
      </c>
      <c r="F355" t="inlineStr">
        <is>
          <t>VÄSTRA GÖTALANDS LÄN</t>
        </is>
      </c>
      <c r="G355" t="inlineStr">
        <is>
          <t>TRANEMO</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43841-2023</t>
        </is>
      </c>
      <c r="B356" t="inlineStr">
        <is>
          <t>avverkningsanmälan</t>
        </is>
      </c>
      <c r="C356" t="inlineStr">
        <is>
          <t>Föryngringsavverkning</t>
        </is>
      </c>
      <c r="D356" s="1" t="n">
        <v>45187</v>
      </c>
      <c r="E356" s="1" t="n">
        <v>46216</v>
      </c>
      <c r="F356" t="inlineStr">
        <is>
          <t>VÄSTRA GÖTALANDS LÄN</t>
        </is>
      </c>
      <c r="G356" t="inlineStr">
        <is>
          <t>TRANEMO</t>
        </is>
      </c>
      <c r="I356" t="n">
        <v>5.3</v>
      </c>
      <c r="J356" t="n">
        <v>0</v>
      </c>
      <c r="K356" t="n">
        <v>0</v>
      </c>
      <c r="L356" t="n">
        <v>0</v>
      </c>
      <c r="M356" t="n">
        <v>0</v>
      </c>
      <c r="N356" t="n">
        <v>0</v>
      </c>
      <c r="O356" t="n">
        <v>0</v>
      </c>
      <c r="P356" t="n">
        <v>0</v>
      </c>
      <c r="Q356" t="n">
        <v>0</v>
      </c>
      <c r="R356" t="n">
        <v>0</v>
      </c>
      <c r="S356" t="n">
        <v>0</v>
      </c>
      <c r="T356" t="n">
        <v>0</v>
      </c>
      <c r="U356" s="2" t="inlineStr"/>
    </row>
    <row r="357" ht="15" customHeight="1">
      <c r="A357" t="inlineStr">
        <is>
          <t>A 13947-2024</t>
        </is>
      </c>
      <c r="B357" t="inlineStr">
        <is>
          <t>avverkningsanmälan</t>
        </is>
      </c>
      <c r="C357" t="inlineStr">
        <is>
          <t>Föryngringsavverkning</t>
        </is>
      </c>
      <c r="D357" s="1" t="n">
        <v>45392</v>
      </c>
      <c r="E357" s="1" t="n">
        <v>46216</v>
      </c>
      <c r="F357" t="inlineStr">
        <is>
          <t>VÄSTRA GÖTALANDS LÄN</t>
        </is>
      </c>
      <c r="G357" t="inlineStr">
        <is>
          <t>TRANEMO</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3211-2025</t>
        </is>
      </c>
      <c r="B358" t="inlineStr">
        <is>
          <t>avverkningsanmälan</t>
        </is>
      </c>
      <c r="C358" t="inlineStr">
        <is>
          <t>Föryngringsavverkning</t>
        </is>
      </c>
      <c r="D358" s="1" t="n">
        <v>45679</v>
      </c>
      <c r="E358" s="1" t="n">
        <v>46216</v>
      </c>
      <c r="F358" t="inlineStr">
        <is>
          <t>VÄSTRA GÖTALANDS LÄN</t>
        </is>
      </c>
      <c r="G358" t="inlineStr">
        <is>
          <t>TRANEMO</t>
        </is>
      </c>
      <c r="I358" t="n">
        <v>4</v>
      </c>
      <c r="J358" t="n">
        <v>0</v>
      </c>
      <c r="K358" t="n">
        <v>0</v>
      </c>
      <c r="L358" t="n">
        <v>0</v>
      </c>
      <c r="M358" t="n">
        <v>0</v>
      </c>
      <c r="N358" t="n">
        <v>0</v>
      </c>
      <c r="O358" t="n">
        <v>0</v>
      </c>
      <c r="P358" t="n">
        <v>0</v>
      </c>
      <c r="Q358" t="n">
        <v>0</v>
      </c>
      <c r="R358" t="n">
        <v>0</v>
      </c>
      <c r="S358" t="n">
        <v>0</v>
      </c>
      <c r="T358" t="n">
        <v>0</v>
      </c>
      <c r="U358" s="2" t="inlineStr"/>
    </row>
    <row r="359" ht="15" customHeight="1">
      <c r="A359" t="inlineStr">
        <is>
          <t>A 3212-2025</t>
        </is>
      </c>
      <c r="B359" t="inlineStr">
        <is>
          <t>avverkningsanmälan</t>
        </is>
      </c>
      <c r="C359" t="inlineStr">
        <is>
          <t>Föryngringsavverkning</t>
        </is>
      </c>
      <c r="D359" s="1" t="n">
        <v>45679</v>
      </c>
      <c r="E359" s="1" t="n">
        <v>46216</v>
      </c>
      <c r="F359" t="inlineStr">
        <is>
          <t>VÄSTRA GÖTALANDS LÄN</t>
        </is>
      </c>
      <c r="G359" t="inlineStr">
        <is>
          <t>TRANEMO</t>
        </is>
      </c>
      <c r="I359" t="n">
        <v>2.3</v>
      </c>
      <c r="J359" t="n">
        <v>0</v>
      </c>
      <c r="K359" t="n">
        <v>0</v>
      </c>
      <c r="L359" t="n">
        <v>0</v>
      </c>
      <c r="M359" t="n">
        <v>0</v>
      </c>
      <c r="N359" t="n">
        <v>0</v>
      </c>
      <c r="O359" t="n">
        <v>0</v>
      </c>
      <c r="P359" t="n">
        <v>0</v>
      </c>
      <c r="Q359" t="n">
        <v>0</v>
      </c>
      <c r="R359" t="n">
        <v>0</v>
      </c>
      <c r="S359" t="n">
        <v>0</v>
      </c>
      <c r="T359" t="n">
        <v>0</v>
      </c>
      <c r="U359" s="2" t="inlineStr"/>
    </row>
    <row r="360" ht="15" customHeight="1">
      <c r="A360" t="inlineStr">
        <is>
          <t>A 18382-2024</t>
        </is>
      </c>
      <c r="B360" t="inlineStr">
        <is>
          <t>avverkningsanmälan</t>
        </is>
      </c>
      <c r="C360" t="inlineStr">
        <is>
          <t>Föryngringsavverkning</t>
        </is>
      </c>
      <c r="D360" s="1" t="n">
        <v>45424</v>
      </c>
      <c r="E360" s="1" t="n">
        <v>46216</v>
      </c>
      <c r="F360" t="inlineStr">
        <is>
          <t>VÄSTRA GÖTALANDS LÄN</t>
        </is>
      </c>
      <c r="G360" t="inlineStr">
        <is>
          <t>TRANEMO</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18383-2024</t>
        </is>
      </c>
      <c r="B361" t="inlineStr">
        <is>
          <t>avverkningsanmälan</t>
        </is>
      </c>
      <c r="C361" t="inlineStr">
        <is>
          <t>Föryngringsavverkning</t>
        </is>
      </c>
      <c r="D361" s="1" t="n">
        <v>45424</v>
      </c>
      <c r="E361" s="1" t="n">
        <v>46216</v>
      </c>
      <c r="F361" t="inlineStr">
        <is>
          <t>VÄSTRA GÖTALANDS LÄN</t>
        </is>
      </c>
      <c r="G361" t="inlineStr">
        <is>
          <t>TRANEMO</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18229-2026</t>
        </is>
      </c>
      <c r="B362" t="inlineStr">
        <is>
          <t>avverkningsanmälan</t>
        </is>
      </c>
      <c r="C362" t="inlineStr">
        <is>
          <t>Föryngringsavverkning</t>
        </is>
      </c>
      <c r="D362" s="1" t="n">
        <v>46126</v>
      </c>
      <c r="E362" s="1" t="n">
        <v>46216</v>
      </c>
      <c r="F362" t="inlineStr">
        <is>
          <t>VÄSTRA GÖTALANDS LÄN</t>
        </is>
      </c>
      <c r="G362" t="inlineStr">
        <is>
          <t>TRANEMO</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51763-2021</t>
        </is>
      </c>
      <c r="B363" t="inlineStr">
        <is>
          <t>avverkningsanmälan</t>
        </is>
      </c>
      <c r="C363" t="inlineStr">
        <is>
          <t>Föryngringsavverkning</t>
        </is>
      </c>
      <c r="D363" s="1" t="n">
        <v>44462</v>
      </c>
      <c r="E363" s="1" t="n">
        <v>46216</v>
      </c>
      <c r="F363" t="inlineStr">
        <is>
          <t>VÄSTRA GÖTALANDS LÄN</t>
        </is>
      </c>
      <c r="G363" t="inlineStr">
        <is>
          <t>TRANEMO</t>
        </is>
      </c>
      <c r="I363" t="n">
        <v>3.5</v>
      </c>
      <c r="J363" t="n">
        <v>0</v>
      </c>
      <c r="K363" t="n">
        <v>0</v>
      </c>
      <c r="L363" t="n">
        <v>0</v>
      </c>
      <c r="M363" t="n">
        <v>0</v>
      </c>
      <c r="N363" t="n">
        <v>0</v>
      </c>
      <c r="O363" t="n">
        <v>0</v>
      </c>
      <c r="P363" t="n">
        <v>0</v>
      </c>
      <c r="Q363" t="n">
        <v>0</v>
      </c>
      <c r="R363" t="n">
        <v>0</v>
      </c>
      <c r="S363" t="n">
        <v>0</v>
      </c>
      <c r="T363" t="n">
        <v>0</v>
      </c>
      <c r="U363" s="2" t="inlineStr"/>
    </row>
    <row r="364" ht="15" customHeight="1">
      <c r="A364" t="inlineStr">
        <is>
          <t>A 50524-2022</t>
        </is>
      </c>
      <c r="B364" t="inlineStr">
        <is>
          <t>avverkningsanmälan</t>
        </is>
      </c>
      <c r="C364" t="inlineStr">
        <is>
          <t>Föryngringsavverkning</t>
        </is>
      </c>
      <c r="D364" s="1" t="n">
        <v>44866</v>
      </c>
      <c r="E364" s="1" t="n">
        <v>46216</v>
      </c>
      <c r="F364" t="inlineStr">
        <is>
          <t>VÄSTRA GÖTALANDS LÄN</t>
        </is>
      </c>
      <c r="G364" t="inlineStr">
        <is>
          <t>TRANEMO</t>
        </is>
      </c>
      <c r="H364" t="inlineStr">
        <is>
          <t>Sveaskog</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1384-2024</t>
        </is>
      </c>
      <c r="B365" t="inlineStr">
        <is>
          <t>avverkningsanmälan</t>
        </is>
      </c>
      <c r="C365" t="inlineStr">
        <is>
          <t>Föryngringsavverkning</t>
        </is>
      </c>
      <c r="D365" s="1" t="n">
        <v>45303</v>
      </c>
      <c r="E365" s="1" t="n">
        <v>46216</v>
      </c>
      <c r="F365" t="inlineStr">
        <is>
          <t>VÄSTRA GÖTALANDS LÄN</t>
        </is>
      </c>
      <c r="G365" t="inlineStr">
        <is>
          <t>TRANEMO</t>
        </is>
      </c>
      <c r="I365" t="n">
        <v>10.6</v>
      </c>
      <c r="J365" t="n">
        <v>0</v>
      </c>
      <c r="K365" t="n">
        <v>0</v>
      </c>
      <c r="L365" t="n">
        <v>0</v>
      </c>
      <c r="M365" t="n">
        <v>0</v>
      </c>
      <c r="N365" t="n">
        <v>0</v>
      </c>
      <c r="O365" t="n">
        <v>0</v>
      </c>
      <c r="P365" t="n">
        <v>0</v>
      </c>
      <c r="Q365" t="n">
        <v>0</v>
      </c>
      <c r="R365" t="n">
        <v>0</v>
      </c>
      <c r="S365" t="n">
        <v>0</v>
      </c>
      <c r="T365" t="n">
        <v>0</v>
      </c>
      <c r="U365" s="2" t="inlineStr"/>
    </row>
    <row r="366" ht="15" customHeight="1">
      <c r="A366" t="inlineStr">
        <is>
          <t>A 40712-2023</t>
        </is>
      </c>
      <c r="B366" t="inlineStr">
        <is>
          <t>avverkningsanmälan</t>
        </is>
      </c>
      <c r="C366" t="inlineStr">
        <is>
          <t>Föryngringsavverkning</t>
        </is>
      </c>
      <c r="D366" s="1" t="n">
        <v>45170</v>
      </c>
      <c r="E366" s="1" t="n">
        <v>46216</v>
      </c>
      <c r="F366" t="inlineStr">
        <is>
          <t>VÄSTRA GÖTALANDS LÄN</t>
        </is>
      </c>
      <c r="G366" t="inlineStr">
        <is>
          <t>TRANEMO</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6286-2023</t>
        </is>
      </c>
      <c r="B367" t="inlineStr">
        <is>
          <t>avverkningsanmälan</t>
        </is>
      </c>
      <c r="C367" t="inlineStr">
        <is>
          <t>Föryngringsavverkning</t>
        </is>
      </c>
      <c r="D367" s="1" t="n">
        <v>44965</v>
      </c>
      <c r="E367" s="1" t="n">
        <v>46216</v>
      </c>
      <c r="F367" t="inlineStr">
        <is>
          <t>VÄSTRA GÖTALANDS LÄN</t>
        </is>
      </c>
      <c r="G367" t="inlineStr">
        <is>
          <t>TRANEMO</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73811-2021</t>
        </is>
      </c>
      <c r="B368" t="inlineStr">
        <is>
          <t>avverkningsanmälan</t>
        </is>
      </c>
      <c r="C368" t="inlineStr">
        <is>
          <t>Föryngringsavverkning</t>
        </is>
      </c>
      <c r="D368" s="1" t="n">
        <v>44552</v>
      </c>
      <c r="E368" s="1" t="n">
        <v>46216</v>
      </c>
      <c r="F368" t="inlineStr">
        <is>
          <t>VÄSTRA GÖTALANDS LÄN</t>
        </is>
      </c>
      <c r="G368" t="inlineStr">
        <is>
          <t>TRANEMO</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25037-2026</t>
        </is>
      </c>
      <c r="B369" t="inlineStr">
        <is>
          <t>avverkningsanmälan</t>
        </is>
      </c>
      <c r="C369" t="inlineStr">
        <is>
          <t>Föryngringsavverkning</t>
        </is>
      </c>
      <c r="D369" s="1" t="n">
        <v>46174</v>
      </c>
      <c r="E369" s="1" t="n">
        <v>46216</v>
      </c>
      <c r="F369" t="inlineStr">
        <is>
          <t>VÄSTRA GÖTALANDS LÄN</t>
        </is>
      </c>
      <c r="G369" t="inlineStr">
        <is>
          <t>TRANEMO</t>
        </is>
      </c>
      <c r="I369" t="n">
        <v>8.699999999999999</v>
      </c>
      <c r="J369" t="n">
        <v>0</v>
      </c>
      <c r="K369" t="n">
        <v>0</v>
      </c>
      <c r="L369" t="n">
        <v>0</v>
      </c>
      <c r="M369" t="n">
        <v>0</v>
      </c>
      <c r="N369" t="n">
        <v>0</v>
      </c>
      <c r="O369" t="n">
        <v>0</v>
      </c>
      <c r="P369" t="n">
        <v>0</v>
      </c>
      <c r="Q369" t="n">
        <v>0</v>
      </c>
      <c r="R369" t="n">
        <v>0</v>
      </c>
      <c r="S369" t="n">
        <v>0</v>
      </c>
      <c r="T369" t="n">
        <v>0</v>
      </c>
      <c r="U369" s="2" t="inlineStr"/>
    </row>
    <row r="370" ht="15" customHeight="1">
      <c r="A370" t="inlineStr">
        <is>
          <t>A 23291-2022</t>
        </is>
      </c>
      <c r="B370" t="inlineStr">
        <is>
          <t>avverkningsanmälan</t>
        </is>
      </c>
      <c r="C370" t="inlineStr">
        <is>
          <t>Föryngringsavverkning</t>
        </is>
      </c>
      <c r="D370" s="1" t="n">
        <v>44720</v>
      </c>
      <c r="E370" s="1" t="n">
        <v>46216</v>
      </c>
      <c r="F370" t="inlineStr">
        <is>
          <t>VÄSTRA GÖTALANDS LÄN</t>
        </is>
      </c>
      <c r="G370" t="inlineStr">
        <is>
          <t>TRANEMO</t>
        </is>
      </c>
      <c r="I370" t="n">
        <v>7.2</v>
      </c>
      <c r="J370" t="n">
        <v>0</v>
      </c>
      <c r="K370" t="n">
        <v>0</v>
      </c>
      <c r="L370" t="n">
        <v>0</v>
      </c>
      <c r="M370" t="n">
        <v>0</v>
      </c>
      <c r="N370" t="n">
        <v>0</v>
      </c>
      <c r="O370" t="n">
        <v>0</v>
      </c>
      <c r="P370" t="n">
        <v>0</v>
      </c>
      <c r="Q370" t="n">
        <v>0</v>
      </c>
      <c r="R370" t="n">
        <v>0</v>
      </c>
      <c r="S370" t="n">
        <v>0</v>
      </c>
      <c r="T370" t="n">
        <v>0</v>
      </c>
      <c r="U370" s="2" t="inlineStr"/>
    </row>
    <row r="371" ht="15" customHeight="1">
      <c r="A371" t="inlineStr">
        <is>
          <t>A 54394-2022</t>
        </is>
      </c>
      <c r="B371" t="inlineStr">
        <is>
          <t>avverkningsanmälan</t>
        </is>
      </c>
      <c r="C371" t="inlineStr">
        <is>
          <t>Föryngringsavverkning</t>
        </is>
      </c>
      <c r="D371" s="1" t="n">
        <v>44882</v>
      </c>
      <c r="E371" s="1" t="n">
        <v>46216</v>
      </c>
      <c r="F371" t="inlineStr">
        <is>
          <t>VÄSTRA GÖTALANDS LÄN</t>
        </is>
      </c>
      <c r="G371" t="inlineStr">
        <is>
          <t>TRANEMO</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14316-2022</t>
        </is>
      </c>
      <c r="B372" t="inlineStr">
        <is>
          <t>avverkningsanmälan</t>
        </is>
      </c>
      <c r="C372" t="inlineStr">
        <is>
          <t>Föryngringsavverkning</t>
        </is>
      </c>
      <c r="D372" s="1" t="n">
        <v>44652</v>
      </c>
      <c r="E372" s="1" t="n">
        <v>46216</v>
      </c>
      <c r="F372" t="inlineStr">
        <is>
          <t>VÄSTRA GÖTALANDS LÄN</t>
        </is>
      </c>
      <c r="G372" t="inlineStr">
        <is>
          <t>TRANEMO</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54400-2022</t>
        </is>
      </c>
      <c r="B373" t="inlineStr">
        <is>
          <t>avverkningsanmälan</t>
        </is>
      </c>
      <c r="C373" t="inlineStr">
        <is>
          <t>Föryngringsavverkning</t>
        </is>
      </c>
      <c r="D373" s="1" t="n">
        <v>44882</v>
      </c>
      <c r="E373" s="1" t="n">
        <v>46216</v>
      </c>
      <c r="F373" t="inlineStr">
        <is>
          <t>VÄSTRA GÖTALANDS LÄN</t>
        </is>
      </c>
      <c r="G373" t="inlineStr">
        <is>
          <t>TRANEMO</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39412-2024</t>
        </is>
      </c>
      <c r="B374" t="inlineStr">
        <is>
          <t>avverkningsanmälan</t>
        </is>
      </c>
      <c r="C374" t="inlineStr">
        <is>
          <t>Föryngringsavverkning</t>
        </is>
      </c>
      <c r="D374" s="1" t="n">
        <v>45551</v>
      </c>
      <c r="E374" s="1" t="n">
        <v>46216</v>
      </c>
      <c r="F374" t="inlineStr">
        <is>
          <t>VÄSTRA GÖTALANDS LÄN</t>
        </is>
      </c>
      <c r="G374" t="inlineStr">
        <is>
          <t>TRANEMO</t>
        </is>
      </c>
      <c r="I374" t="n">
        <v>0.3</v>
      </c>
      <c r="J374" t="n">
        <v>0</v>
      </c>
      <c r="K374" t="n">
        <v>0</v>
      </c>
      <c r="L374" t="n">
        <v>0</v>
      </c>
      <c r="M374" t="n">
        <v>0</v>
      </c>
      <c r="N374" t="n">
        <v>0</v>
      </c>
      <c r="O374" t="n">
        <v>0</v>
      </c>
      <c r="P374" t="n">
        <v>0</v>
      </c>
      <c r="Q374" t="n">
        <v>0</v>
      </c>
      <c r="R374" t="n">
        <v>0</v>
      </c>
      <c r="S374" t="n">
        <v>0</v>
      </c>
      <c r="T374" t="n">
        <v>0</v>
      </c>
      <c r="U374" s="2" t="inlineStr"/>
    </row>
    <row r="375" ht="15" customHeight="1">
      <c r="A375" t="inlineStr">
        <is>
          <t>A 3162-2024</t>
        </is>
      </c>
      <c r="B375" t="inlineStr">
        <is>
          <t>avverkningsanmälan</t>
        </is>
      </c>
      <c r="C375" t="inlineStr">
        <is>
          <t>Föryngringsavverkning</t>
        </is>
      </c>
      <c r="D375" s="1" t="n">
        <v>45316</v>
      </c>
      <c r="E375" s="1" t="n">
        <v>46216</v>
      </c>
      <c r="F375" t="inlineStr">
        <is>
          <t>VÄSTRA GÖTALANDS LÄN</t>
        </is>
      </c>
      <c r="G375" t="inlineStr">
        <is>
          <t>TRANEMO</t>
        </is>
      </c>
      <c r="I375" t="n">
        <v>3.7</v>
      </c>
      <c r="J375" t="n">
        <v>0</v>
      </c>
      <c r="K375" t="n">
        <v>0</v>
      </c>
      <c r="L375" t="n">
        <v>0</v>
      </c>
      <c r="M375" t="n">
        <v>0</v>
      </c>
      <c r="N375" t="n">
        <v>0</v>
      </c>
      <c r="O375" t="n">
        <v>0</v>
      </c>
      <c r="P375" t="n">
        <v>0</v>
      </c>
      <c r="Q375" t="n">
        <v>0</v>
      </c>
      <c r="R375" t="n">
        <v>0</v>
      </c>
      <c r="S375" t="n">
        <v>0</v>
      </c>
      <c r="T375" t="n">
        <v>0</v>
      </c>
      <c r="U375" s="2" t="inlineStr"/>
    </row>
    <row r="376" ht="15" customHeight="1">
      <c r="A376" t="inlineStr">
        <is>
          <t>A 25280-2026</t>
        </is>
      </c>
      <c r="B376" t="inlineStr">
        <is>
          <t>avverkningsanmälan</t>
        </is>
      </c>
      <c r="C376" t="inlineStr">
        <is>
          <t>Föryngringsavverkning</t>
        </is>
      </c>
      <c r="D376" s="1" t="n">
        <v>46176</v>
      </c>
      <c r="E376" s="1" t="n">
        <v>46216</v>
      </c>
      <c r="F376" t="inlineStr">
        <is>
          <t>VÄSTRA GÖTALANDS LÄN</t>
        </is>
      </c>
      <c r="G376" t="inlineStr">
        <is>
          <t>TRANEMO</t>
        </is>
      </c>
      <c r="I376" t="n">
        <v>2.8</v>
      </c>
      <c r="J376" t="n">
        <v>0</v>
      </c>
      <c r="K376" t="n">
        <v>0</v>
      </c>
      <c r="L376" t="n">
        <v>0</v>
      </c>
      <c r="M376" t="n">
        <v>0</v>
      </c>
      <c r="N376" t="n">
        <v>0</v>
      </c>
      <c r="O376" t="n">
        <v>0</v>
      </c>
      <c r="P376" t="n">
        <v>0</v>
      </c>
      <c r="Q376" t="n">
        <v>0</v>
      </c>
      <c r="R376" t="n">
        <v>0</v>
      </c>
      <c r="S376" t="n">
        <v>0</v>
      </c>
      <c r="T376" t="n">
        <v>0</v>
      </c>
      <c r="U376" s="2" t="inlineStr"/>
    </row>
    <row r="377" ht="15" customHeight="1">
      <c r="A377" t="inlineStr">
        <is>
          <t>A 7002-2025</t>
        </is>
      </c>
      <c r="B377" t="inlineStr">
        <is>
          <t>avverkningsanmälan</t>
        </is>
      </c>
      <c r="C377" t="inlineStr">
        <is>
          <t>Föryngringsavverkning</t>
        </is>
      </c>
      <c r="D377" s="1" t="n">
        <v>45701</v>
      </c>
      <c r="E377" s="1" t="n">
        <v>46216</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16039-2022</t>
        </is>
      </c>
      <c r="B378" t="inlineStr">
        <is>
          <t>avverkningsanmälan</t>
        </is>
      </c>
      <c r="C378" t="inlineStr">
        <is>
          <t>Föryngringsavverkning</t>
        </is>
      </c>
      <c r="D378" s="1" t="n">
        <v>44665</v>
      </c>
      <c r="E378" s="1" t="n">
        <v>46216</v>
      </c>
      <c r="F378" t="inlineStr">
        <is>
          <t>VÄSTRA GÖTALANDS LÄN</t>
        </is>
      </c>
      <c r="G378" t="inlineStr">
        <is>
          <t>TRANEMO</t>
        </is>
      </c>
      <c r="I378" t="n">
        <v>2.1</v>
      </c>
      <c r="J378" t="n">
        <v>0</v>
      </c>
      <c r="K378" t="n">
        <v>0</v>
      </c>
      <c r="L378" t="n">
        <v>0</v>
      </c>
      <c r="M378" t="n">
        <v>0</v>
      </c>
      <c r="N378" t="n">
        <v>0</v>
      </c>
      <c r="O378" t="n">
        <v>0</v>
      </c>
      <c r="P378" t="n">
        <v>0</v>
      </c>
      <c r="Q378" t="n">
        <v>0</v>
      </c>
      <c r="R378" t="n">
        <v>0</v>
      </c>
      <c r="S378" t="n">
        <v>0</v>
      </c>
      <c r="T378" t="n">
        <v>0</v>
      </c>
      <c r="U378" s="2" t="inlineStr"/>
    </row>
    <row r="379" ht="15" customHeight="1">
      <c r="A379" t="inlineStr">
        <is>
          <t>A 62031-2024</t>
        </is>
      </c>
      <c r="B379" t="inlineStr">
        <is>
          <t>avverkningsanmälan</t>
        </is>
      </c>
      <c r="C379" t="inlineStr">
        <is>
          <t>Föryngringsavverkning</t>
        </is>
      </c>
      <c r="D379" s="1" t="n">
        <v>45656</v>
      </c>
      <c r="E379" s="1" t="n">
        <v>46216</v>
      </c>
      <c r="F379" t="inlineStr">
        <is>
          <t>VÄSTRA GÖTALANDS LÄN</t>
        </is>
      </c>
      <c r="G379" t="inlineStr">
        <is>
          <t>TRANEMO</t>
        </is>
      </c>
      <c r="I379" t="n">
        <v>5.3</v>
      </c>
      <c r="J379" t="n">
        <v>0</v>
      </c>
      <c r="K379" t="n">
        <v>0</v>
      </c>
      <c r="L379" t="n">
        <v>0</v>
      </c>
      <c r="M379" t="n">
        <v>0</v>
      </c>
      <c r="N379" t="n">
        <v>0</v>
      </c>
      <c r="O379" t="n">
        <v>0</v>
      </c>
      <c r="P379" t="n">
        <v>0</v>
      </c>
      <c r="Q379" t="n">
        <v>0</v>
      </c>
      <c r="R379" t="n">
        <v>0</v>
      </c>
      <c r="S379" t="n">
        <v>0</v>
      </c>
      <c r="T379" t="n">
        <v>0</v>
      </c>
      <c r="U379" s="2" t="inlineStr"/>
    </row>
    <row r="380" ht="15" customHeight="1">
      <c r="A380" t="inlineStr">
        <is>
          <t>A 44286-2023</t>
        </is>
      </c>
      <c r="B380" t="inlineStr">
        <is>
          <t>avverkningsanmälan</t>
        </is>
      </c>
      <c r="C380" t="inlineStr">
        <is>
          <t>Föryngringsavverkning</t>
        </is>
      </c>
      <c r="D380" s="1" t="n">
        <v>45188</v>
      </c>
      <c r="E380" s="1" t="n">
        <v>46216</v>
      </c>
      <c r="F380" t="inlineStr">
        <is>
          <t>VÄSTRA GÖTALANDS LÄN</t>
        </is>
      </c>
      <c r="G380" t="inlineStr">
        <is>
          <t>TRANEMO</t>
        </is>
      </c>
      <c r="I380" t="n">
        <v>3.1</v>
      </c>
      <c r="J380" t="n">
        <v>0</v>
      </c>
      <c r="K380" t="n">
        <v>0</v>
      </c>
      <c r="L380" t="n">
        <v>0</v>
      </c>
      <c r="M380" t="n">
        <v>0</v>
      </c>
      <c r="N380" t="n">
        <v>0</v>
      </c>
      <c r="O380" t="n">
        <v>0</v>
      </c>
      <c r="P380" t="n">
        <v>0</v>
      </c>
      <c r="Q380" t="n">
        <v>0</v>
      </c>
      <c r="R380" t="n">
        <v>0</v>
      </c>
      <c r="S380" t="n">
        <v>0</v>
      </c>
      <c r="T380" t="n">
        <v>0</v>
      </c>
      <c r="U380" s="2" t="inlineStr"/>
    </row>
    <row r="381" ht="15" customHeight="1">
      <c r="A381" t="inlineStr">
        <is>
          <t>A 44844-2024</t>
        </is>
      </c>
      <c r="B381" t="inlineStr">
        <is>
          <t>avverkningsanmälan</t>
        </is>
      </c>
      <c r="C381" t="inlineStr">
        <is>
          <t>Föryngringsavverkning</t>
        </is>
      </c>
      <c r="D381" s="1" t="n">
        <v>45574</v>
      </c>
      <c r="E381" s="1" t="n">
        <v>46216</v>
      </c>
      <c r="F381" t="inlineStr">
        <is>
          <t>VÄSTRA GÖTALANDS LÄN</t>
        </is>
      </c>
      <c r="G381" t="inlineStr">
        <is>
          <t>TRANEMO</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50830-2022</t>
        </is>
      </c>
      <c r="B382" t="inlineStr">
        <is>
          <t>avverkningsanmälan</t>
        </is>
      </c>
      <c r="C382" t="inlineStr">
        <is>
          <t>Avverkning för annat ändamål</t>
        </is>
      </c>
      <c r="D382" s="1" t="n">
        <v>44867</v>
      </c>
      <c r="E382" s="1" t="n">
        <v>46216</v>
      </c>
      <c r="F382" t="inlineStr">
        <is>
          <t>VÄSTRA GÖTALANDS LÄN</t>
        </is>
      </c>
      <c r="G382" t="inlineStr">
        <is>
          <t>TRANEMO</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18454-2025</t>
        </is>
      </c>
      <c r="B383" t="inlineStr">
        <is>
          <t>avverkningsanmälan</t>
        </is>
      </c>
      <c r="C383" t="inlineStr">
        <is>
          <t>Föryngringsavverkning</t>
        </is>
      </c>
      <c r="D383" s="1" t="n">
        <v>45762</v>
      </c>
      <c r="E383" s="1" t="n">
        <v>46216</v>
      </c>
      <c r="F383" t="inlineStr">
        <is>
          <t>VÄSTRA GÖTALANDS LÄN</t>
        </is>
      </c>
      <c r="G383" t="inlineStr">
        <is>
          <t>TRANEMO</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34551-2023</t>
        </is>
      </c>
      <c r="B384" t="inlineStr">
        <is>
          <t>avverkningsanmälan</t>
        </is>
      </c>
      <c r="C384" t="inlineStr">
        <is>
          <t>Avverkning för annat ändamål</t>
        </is>
      </c>
      <c r="D384" s="1" t="n">
        <v>45140</v>
      </c>
      <c r="E384" s="1" t="n">
        <v>46216</v>
      </c>
      <c r="F384" t="inlineStr">
        <is>
          <t>VÄSTRA GÖTALANDS LÄN</t>
        </is>
      </c>
      <c r="G384" t="inlineStr">
        <is>
          <t>TRANEMO</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40469-2025</t>
        </is>
      </c>
      <c r="B385" t="inlineStr">
        <is>
          <t>avverkningsanmälan</t>
        </is>
      </c>
      <c r="C385" t="inlineStr">
        <is>
          <t>Föryngringsavverkning</t>
        </is>
      </c>
      <c r="D385" s="1" t="n">
        <v>45895</v>
      </c>
      <c r="E385" s="1" t="n">
        <v>46216</v>
      </c>
      <c r="F385" t="inlineStr">
        <is>
          <t>VÄSTRA GÖTALANDS LÄN</t>
        </is>
      </c>
      <c r="G385" t="inlineStr">
        <is>
          <t>TRANEMO</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25485-2024</t>
        </is>
      </c>
      <c r="B386" t="inlineStr">
        <is>
          <t>avverkningsanmälan</t>
        </is>
      </c>
      <c r="C386" t="inlineStr">
        <is>
          <t>Föryngringsavverkning</t>
        </is>
      </c>
      <c r="D386" s="1" t="n">
        <v>45463</v>
      </c>
      <c r="E386" s="1" t="n">
        <v>46216</v>
      </c>
      <c r="F386" t="inlineStr">
        <is>
          <t>VÄSTRA GÖTALANDS LÄN</t>
        </is>
      </c>
      <c r="G386" t="inlineStr">
        <is>
          <t>TRANEMO</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25815-2024</t>
        </is>
      </c>
      <c r="B387" t="inlineStr">
        <is>
          <t>avverkningsanmälan</t>
        </is>
      </c>
      <c r="C387" t="inlineStr">
        <is>
          <t>Föryngringsavverkning</t>
        </is>
      </c>
      <c r="D387" s="1" t="n">
        <v>45467</v>
      </c>
      <c r="E387" s="1" t="n">
        <v>46216</v>
      </c>
      <c r="F387" t="inlineStr">
        <is>
          <t>VÄSTRA GÖTALANDS LÄN</t>
        </is>
      </c>
      <c r="G387" t="inlineStr">
        <is>
          <t>TRANEMO</t>
        </is>
      </c>
      <c r="I387" t="n">
        <v>7.4</v>
      </c>
      <c r="J387" t="n">
        <v>0</v>
      </c>
      <c r="K387" t="n">
        <v>0</v>
      </c>
      <c r="L387" t="n">
        <v>0</v>
      </c>
      <c r="M387" t="n">
        <v>0</v>
      </c>
      <c r="N387" t="n">
        <v>0</v>
      </c>
      <c r="O387" t="n">
        <v>0</v>
      </c>
      <c r="P387" t="n">
        <v>0</v>
      </c>
      <c r="Q387" t="n">
        <v>0</v>
      </c>
      <c r="R387" t="n">
        <v>0</v>
      </c>
      <c r="S387" t="n">
        <v>0</v>
      </c>
      <c r="T387" t="n">
        <v>0</v>
      </c>
      <c r="U387" s="2" t="inlineStr"/>
    </row>
    <row r="388" ht="15" customHeight="1">
      <c r="A388" t="inlineStr">
        <is>
          <t>A 25518-2024</t>
        </is>
      </c>
      <c r="B388" t="inlineStr">
        <is>
          <t>avverkningsanmälan</t>
        </is>
      </c>
      <c r="C388" t="inlineStr">
        <is>
          <t>Föryngringsavverkning</t>
        </is>
      </c>
      <c r="D388" s="1" t="n">
        <v>45463</v>
      </c>
      <c r="E388" s="1" t="n">
        <v>46216</v>
      </c>
      <c r="F388" t="inlineStr">
        <is>
          <t>VÄSTRA GÖTALANDS LÄN</t>
        </is>
      </c>
      <c r="G388" t="inlineStr">
        <is>
          <t>TRANEMO</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39785-2025</t>
        </is>
      </c>
      <c r="B389" t="inlineStr">
        <is>
          <t>avverkningsanmälan</t>
        </is>
      </c>
      <c r="C389" t="inlineStr">
        <is>
          <t>Föryngringsavverkning</t>
        </is>
      </c>
      <c r="D389" s="1" t="n">
        <v>45891</v>
      </c>
      <c r="E389" s="1" t="n">
        <v>46216</v>
      </c>
      <c r="F389" t="inlineStr">
        <is>
          <t>VÄSTRA GÖTALANDS LÄN</t>
        </is>
      </c>
      <c r="G389" t="inlineStr">
        <is>
          <t>TRANEMO</t>
        </is>
      </c>
      <c r="I389" t="n">
        <v>2.5</v>
      </c>
      <c r="J389" t="n">
        <v>0</v>
      </c>
      <c r="K389" t="n">
        <v>0</v>
      </c>
      <c r="L389" t="n">
        <v>0</v>
      </c>
      <c r="M389" t="n">
        <v>0</v>
      </c>
      <c r="N389" t="n">
        <v>0</v>
      </c>
      <c r="O389" t="n">
        <v>0</v>
      </c>
      <c r="P389" t="n">
        <v>0</v>
      </c>
      <c r="Q389" t="n">
        <v>0</v>
      </c>
      <c r="R389" t="n">
        <v>0</v>
      </c>
      <c r="S389" t="n">
        <v>0</v>
      </c>
      <c r="T389" t="n">
        <v>0</v>
      </c>
      <c r="U389" s="2" t="inlineStr"/>
    </row>
    <row r="390" ht="15" customHeight="1">
      <c r="A390" t="inlineStr">
        <is>
          <t>A 20534-2024</t>
        </is>
      </c>
      <c r="B390" t="inlineStr">
        <is>
          <t>avverkningsanmälan</t>
        </is>
      </c>
      <c r="C390" t="inlineStr">
        <is>
          <t>Föryngringsavverkning</t>
        </is>
      </c>
      <c r="D390" s="1" t="n">
        <v>45436</v>
      </c>
      <c r="E390" s="1" t="n">
        <v>46216</v>
      </c>
      <c r="F390" t="inlineStr">
        <is>
          <t>VÄSTRA GÖTALANDS LÄN</t>
        </is>
      </c>
      <c r="G390" t="inlineStr">
        <is>
          <t>TRANEMO</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911-2025</t>
        </is>
      </c>
      <c r="B391" t="inlineStr">
        <is>
          <t>avverkningsanmälan</t>
        </is>
      </c>
      <c r="C391" t="inlineStr">
        <is>
          <t>Föryngringsavverkning</t>
        </is>
      </c>
      <c r="D391" s="1" t="n">
        <v>45665</v>
      </c>
      <c r="E391" s="1" t="n">
        <v>46216</v>
      </c>
      <c r="F391" t="inlineStr">
        <is>
          <t>VÄSTRA GÖTALANDS LÄN</t>
        </is>
      </c>
      <c r="G391" t="inlineStr">
        <is>
          <t>TRANEMO</t>
        </is>
      </c>
      <c r="I391" t="n">
        <v>7.2</v>
      </c>
      <c r="J391" t="n">
        <v>0</v>
      </c>
      <c r="K391" t="n">
        <v>0</v>
      </c>
      <c r="L391" t="n">
        <v>0</v>
      </c>
      <c r="M391" t="n">
        <v>0</v>
      </c>
      <c r="N391" t="n">
        <v>0</v>
      </c>
      <c r="O391" t="n">
        <v>0</v>
      </c>
      <c r="P391" t="n">
        <v>0</v>
      </c>
      <c r="Q391" t="n">
        <v>0</v>
      </c>
      <c r="R391" t="n">
        <v>0</v>
      </c>
      <c r="S391" t="n">
        <v>0</v>
      </c>
      <c r="T391" t="n">
        <v>0</v>
      </c>
      <c r="U391" s="2" t="inlineStr"/>
    </row>
    <row r="392" ht="15" customHeight="1">
      <c r="A392" t="inlineStr">
        <is>
          <t>A 27584-2025</t>
        </is>
      </c>
      <c r="B392" t="inlineStr">
        <is>
          <t>avverkningsanmälan</t>
        </is>
      </c>
      <c r="C392" t="inlineStr">
        <is>
          <t>Föryngringsavverkning</t>
        </is>
      </c>
      <c r="D392" s="1" t="n">
        <v>45813</v>
      </c>
      <c r="E392" s="1" t="n">
        <v>46216</v>
      </c>
      <c r="F392" t="inlineStr">
        <is>
          <t>VÄSTRA GÖTALANDS LÄN</t>
        </is>
      </c>
      <c r="G392" t="inlineStr">
        <is>
          <t>TRANEMO</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14761-2022</t>
        </is>
      </c>
      <c r="B393" t="inlineStr">
        <is>
          <t>avverkningsanmälan</t>
        </is>
      </c>
      <c r="C393" t="inlineStr">
        <is>
          <t>Föryngringsavverkning</t>
        </is>
      </c>
      <c r="D393" s="1" t="n">
        <v>44656</v>
      </c>
      <c r="E393" s="1" t="n">
        <v>46216</v>
      </c>
      <c r="F393" t="inlineStr">
        <is>
          <t>VÄSTRA GÖTALANDS LÄN</t>
        </is>
      </c>
      <c r="G393" t="inlineStr">
        <is>
          <t>TRANEMO</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47363-2024</t>
        </is>
      </c>
      <c r="B394" t="inlineStr">
        <is>
          <t>avverkningsanmälan</t>
        </is>
      </c>
      <c r="C394" t="inlineStr">
        <is>
          <t>Föryngringsavverkning</t>
        </is>
      </c>
      <c r="D394" s="1" t="n">
        <v>45587</v>
      </c>
      <c r="E394" s="1" t="n">
        <v>46216</v>
      </c>
      <c r="F394" t="inlineStr">
        <is>
          <t>VÄSTRA GÖTALANDS LÄN</t>
        </is>
      </c>
      <c r="G394" t="inlineStr">
        <is>
          <t>TRANEMO</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6302-2022</t>
        </is>
      </c>
      <c r="B395" t="inlineStr">
        <is>
          <t>avverkningsanmälan</t>
        </is>
      </c>
      <c r="C395" t="inlineStr">
        <is>
          <t>Föryngringsavverkning</t>
        </is>
      </c>
      <c r="D395" s="1" t="n">
        <v>44600</v>
      </c>
      <c r="E395" s="1" t="n">
        <v>46216</v>
      </c>
      <c r="F395" t="inlineStr">
        <is>
          <t>VÄSTRA GÖTALANDS LÄN</t>
        </is>
      </c>
      <c r="G395" t="inlineStr">
        <is>
          <t>TRANEMO</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34840-2024</t>
        </is>
      </c>
      <c r="B396" t="inlineStr">
        <is>
          <t>avverkningsanmälan</t>
        </is>
      </c>
      <c r="C396" t="inlineStr">
        <is>
          <t>Föryngringsavverkning</t>
        </is>
      </c>
      <c r="D396" s="1" t="n">
        <v>45526</v>
      </c>
      <c r="E396" s="1" t="n">
        <v>46216</v>
      </c>
      <c r="F396" t="inlineStr">
        <is>
          <t>VÄSTRA GÖTALANDS LÄN</t>
        </is>
      </c>
      <c r="G396" t="inlineStr">
        <is>
          <t>TRANEMO</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3024-2024</t>
        </is>
      </c>
      <c r="B397" t="inlineStr">
        <is>
          <t>avverkningsanmälan</t>
        </is>
      </c>
      <c r="C397" t="inlineStr">
        <is>
          <t>Föryngringsavverkning</t>
        </is>
      </c>
      <c r="D397" s="1" t="n">
        <v>45316</v>
      </c>
      <c r="E397" s="1" t="n">
        <v>46216</v>
      </c>
      <c r="F397" t="inlineStr">
        <is>
          <t>VÄSTRA GÖTALANDS LÄN</t>
        </is>
      </c>
      <c r="G397" t="inlineStr">
        <is>
          <t>TRANEMO</t>
        </is>
      </c>
      <c r="I397" t="n">
        <v>3.6</v>
      </c>
      <c r="J397" t="n">
        <v>0</v>
      </c>
      <c r="K397" t="n">
        <v>0</v>
      </c>
      <c r="L397" t="n">
        <v>0</v>
      </c>
      <c r="M397" t="n">
        <v>0</v>
      </c>
      <c r="N397" t="n">
        <v>0</v>
      </c>
      <c r="O397" t="n">
        <v>0</v>
      </c>
      <c r="P397" t="n">
        <v>0</v>
      </c>
      <c r="Q397" t="n">
        <v>0</v>
      </c>
      <c r="R397" t="n">
        <v>0</v>
      </c>
      <c r="S397" t="n">
        <v>0</v>
      </c>
      <c r="T397" t="n">
        <v>0</v>
      </c>
      <c r="U397" s="2" t="inlineStr"/>
    </row>
    <row r="398" ht="15" customHeight="1">
      <c r="A398" t="inlineStr">
        <is>
          <t>A 18448-2025</t>
        </is>
      </c>
      <c r="B398" t="inlineStr">
        <is>
          <t>avverkningsanmälan</t>
        </is>
      </c>
      <c r="C398" t="inlineStr">
        <is>
          <t>Föryngringsavverkning</t>
        </is>
      </c>
      <c r="D398" s="1" t="n">
        <v>45762</v>
      </c>
      <c r="E398" s="1" t="n">
        <v>46216</v>
      </c>
      <c r="F398" t="inlineStr">
        <is>
          <t>VÄSTRA GÖTALANDS LÄN</t>
        </is>
      </c>
      <c r="G398" t="inlineStr">
        <is>
          <t>TRANEMO</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22147-2025</t>
        </is>
      </c>
      <c r="B399" t="inlineStr">
        <is>
          <t>avverkningsanmälan</t>
        </is>
      </c>
      <c r="C399" t="inlineStr">
        <is>
          <t>Föryngringsavverkning</t>
        </is>
      </c>
      <c r="D399" s="1" t="n">
        <v>45785</v>
      </c>
      <c r="E399" s="1" t="n">
        <v>46216</v>
      </c>
      <c r="F399" t="inlineStr">
        <is>
          <t>VÄSTRA GÖTALANDS LÄN</t>
        </is>
      </c>
      <c r="G399" t="inlineStr">
        <is>
          <t>TRANEMO</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9279-2025</t>
        </is>
      </c>
      <c r="B400" t="inlineStr">
        <is>
          <t>avverkningsanmälan</t>
        </is>
      </c>
      <c r="C400" t="inlineStr">
        <is>
          <t>Föryngringsavverkning</t>
        </is>
      </c>
      <c r="D400" s="1" t="n">
        <v>45714</v>
      </c>
      <c r="E400" s="1" t="n">
        <v>46216</v>
      </c>
      <c r="F400" t="inlineStr">
        <is>
          <t>VÄSTRA GÖTALANDS LÄN</t>
        </is>
      </c>
      <c r="G400" t="inlineStr">
        <is>
          <t>TRANEMO</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552-2025</t>
        </is>
      </c>
      <c r="B401" t="inlineStr">
        <is>
          <t>avverkningsanmälan</t>
        </is>
      </c>
      <c r="C401" t="inlineStr">
        <is>
          <t>Föryngringsavverkning</t>
        </is>
      </c>
      <c r="D401" s="1" t="n">
        <v>45664</v>
      </c>
      <c r="E401" s="1" t="n">
        <v>46216</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2250-2025</t>
        </is>
      </c>
      <c r="B402" t="inlineStr">
        <is>
          <t>avverkningsanmälan</t>
        </is>
      </c>
      <c r="C402" t="inlineStr">
        <is>
          <t>Föryngringsavverkning</t>
        </is>
      </c>
      <c r="D402" s="1" t="n">
        <v>45673</v>
      </c>
      <c r="E402" s="1" t="n">
        <v>46216</v>
      </c>
      <c r="F402" t="inlineStr">
        <is>
          <t>VÄSTRA GÖTALANDS LÄN</t>
        </is>
      </c>
      <c r="G402" t="inlineStr">
        <is>
          <t>TRANEMO</t>
        </is>
      </c>
      <c r="I402" t="n">
        <v>2.1</v>
      </c>
      <c r="J402" t="n">
        <v>0</v>
      </c>
      <c r="K402" t="n">
        <v>0</v>
      </c>
      <c r="L402" t="n">
        <v>0</v>
      </c>
      <c r="M402" t="n">
        <v>0</v>
      </c>
      <c r="N402" t="n">
        <v>0</v>
      </c>
      <c r="O402" t="n">
        <v>0</v>
      </c>
      <c r="P402" t="n">
        <v>0</v>
      </c>
      <c r="Q402" t="n">
        <v>0</v>
      </c>
      <c r="R402" t="n">
        <v>0</v>
      </c>
      <c r="S402" t="n">
        <v>0</v>
      </c>
      <c r="T402" t="n">
        <v>0</v>
      </c>
      <c r="U402" s="2" t="inlineStr"/>
    </row>
    <row r="403" ht="15" customHeight="1">
      <c r="A403" t="inlineStr">
        <is>
          <t>A 13134-2023</t>
        </is>
      </c>
      <c r="B403" t="inlineStr">
        <is>
          <t>avverkningsanmälan</t>
        </is>
      </c>
      <c r="C403" t="inlineStr">
        <is>
          <t>Föryngringsavverkning</t>
        </is>
      </c>
      <c r="D403" s="1" t="n">
        <v>45002</v>
      </c>
      <c r="E403" s="1" t="n">
        <v>46216</v>
      </c>
      <c r="F403" t="inlineStr">
        <is>
          <t>VÄSTRA GÖTALANDS LÄN</t>
        </is>
      </c>
      <c r="G403" t="inlineStr">
        <is>
          <t>TRANEMO</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25905-2026</t>
        </is>
      </c>
      <c r="B404" t="inlineStr">
        <is>
          <t>avverkningsanmälan</t>
        </is>
      </c>
      <c r="C404" t="inlineStr">
        <is>
          <t>Föryngringsavverkning</t>
        </is>
      </c>
      <c r="D404" s="1" t="n">
        <v>46178</v>
      </c>
      <c r="E404" s="1" t="n">
        <v>46216</v>
      </c>
      <c r="F404" t="inlineStr">
        <is>
          <t>VÄSTRA GÖTALANDS LÄN</t>
        </is>
      </c>
      <c r="G404" t="inlineStr">
        <is>
          <t>TRANEMO</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36299-2021</t>
        </is>
      </c>
      <c r="B405" t="inlineStr">
        <is>
          <t>avverkningsanmälan</t>
        </is>
      </c>
      <c r="C405" t="inlineStr">
        <is>
          <t>Avverkning för annat ändamål</t>
        </is>
      </c>
      <c r="D405" s="1" t="n">
        <v>44390</v>
      </c>
      <c r="E405" s="1" t="n">
        <v>46216</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31901-2025</t>
        </is>
      </c>
      <c r="B406" t="inlineStr">
        <is>
          <t>avverkningsanmälan</t>
        </is>
      </c>
      <c r="C406" t="inlineStr">
        <is>
          <t>Föryngringsavverkning</t>
        </is>
      </c>
      <c r="D406" s="1" t="n">
        <v>45825</v>
      </c>
      <c r="E406" s="1" t="n">
        <v>46216</v>
      </c>
      <c r="F406" t="inlineStr">
        <is>
          <t>VÄSTRA GÖTALANDS LÄN</t>
        </is>
      </c>
      <c r="G406" t="inlineStr">
        <is>
          <t>TRANEMO</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53081-2023</t>
        </is>
      </c>
      <c r="B407" t="inlineStr">
        <is>
          <t>avverkningsanmälan</t>
        </is>
      </c>
      <c r="C407" t="inlineStr">
        <is>
          <t>Föryngringsavverkning</t>
        </is>
      </c>
      <c r="D407" s="1" t="n">
        <v>45227</v>
      </c>
      <c r="E407" s="1" t="n">
        <v>46216</v>
      </c>
      <c r="F407" t="inlineStr">
        <is>
          <t>VÄSTRA GÖTALANDS LÄN</t>
        </is>
      </c>
      <c r="G407" t="inlineStr">
        <is>
          <t>TRANEMO</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37203-2024</t>
        </is>
      </c>
      <c r="B408" t="inlineStr">
        <is>
          <t>avverkningsanmälan</t>
        </is>
      </c>
      <c r="C408" t="inlineStr">
        <is>
          <t>Föryngringsavverkning</t>
        </is>
      </c>
      <c r="D408" s="1" t="n">
        <v>45539</v>
      </c>
      <c r="E408" s="1" t="n">
        <v>46216</v>
      </c>
      <c r="F408" t="inlineStr">
        <is>
          <t>VÄSTRA GÖTALANDS LÄN</t>
        </is>
      </c>
      <c r="G408" t="inlineStr">
        <is>
          <t>TRANEMO</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20873-2024</t>
        </is>
      </c>
      <c r="B409" t="inlineStr">
        <is>
          <t>avverkningsanmälan</t>
        </is>
      </c>
      <c r="C409" t="inlineStr">
        <is>
          <t>Föryngringsavverkning</t>
        </is>
      </c>
      <c r="D409" s="1" t="n">
        <v>45439</v>
      </c>
      <c r="E409" s="1" t="n">
        <v>46216</v>
      </c>
      <c r="F409" t="inlineStr">
        <is>
          <t>VÄSTRA GÖTALANDS LÄN</t>
        </is>
      </c>
      <c r="G409" t="inlineStr">
        <is>
          <t>TRANEMO</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13353-2023</t>
        </is>
      </c>
      <c r="B410" t="inlineStr">
        <is>
          <t>avverkningsanmälan</t>
        </is>
      </c>
      <c r="C410" t="inlineStr">
        <is>
          <t>Avverkning för annat ändamål</t>
        </is>
      </c>
      <c r="D410" s="1" t="n">
        <v>45005</v>
      </c>
      <c r="E410" s="1" t="n">
        <v>46216</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s="2" t="inlineStr"/>
    </row>
    <row r="411" ht="15" customHeight="1">
      <c r="A411" t="inlineStr">
        <is>
          <t>A 1456-2025</t>
        </is>
      </c>
      <c r="B411" t="inlineStr">
        <is>
          <t>avverkningsanmälan</t>
        </is>
      </c>
      <c r="C411" t="inlineStr">
        <is>
          <t>Föryngringsavverkning</t>
        </is>
      </c>
      <c r="D411" s="1" t="n">
        <v>45670</v>
      </c>
      <c r="E411" s="1" t="n">
        <v>46216</v>
      </c>
      <c r="F411" t="inlineStr">
        <is>
          <t>VÄSTRA GÖTALANDS LÄN</t>
        </is>
      </c>
      <c r="G411" t="inlineStr">
        <is>
          <t>TRANEMO</t>
        </is>
      </c>
      <c r="I411" t="n">
        <v>5.9</v>
      </c>
      <c r="J411" t="n">
        <v>0</v>
      </c>
      <c r="K411" t="n">
        <v>0</v>
      </c>
      <c r="L411" t="n">
        <v>0</v>
      </c>
      <c r="M411" t="n">
        <v>0</v>
      </c>
      <c r="N411" t="n">
        <v>0</v>
      </c>
      <c r="O411" t="n">
        <v>0</v>
      </c>
      <c r="P411" t="n">
        <v>0</v>
      </c>
      <c r="Q411" t="n">
        <v>0</v>
      </c>
      <c r="R411" t="n">
        <v>0</v>
      </c>
      <c r="S411" t="n">
        <v>0</v>
      </c>
      <c r="T411" t="n">
        <v>0</v>
      </c>
      <c r="U411" s="2" t="inlineStr"/>
    </row>
    <row r="412" ht="15" customHeight="1">
      <c r="A412" t="inlineStr">
        <is>
          <t>A 18208-2022</t>
        </is>
      </c>
      <c r="B412" t="inlineStr">
        <is>
          <t>avverkningsanmälan</t>
        </is>
      </c>
      <c r="C412" t="inlineStr">
        <is>
          <t>Föryngringsavverkning</t>
        </is>
      </c>
      <c r="D412" s="1" t="n">
        <v>44684</v>
      </c>
      <c r="E412" s="1" t="n">
        <v>46216</v>
      </c>
      <c r="F412" t="inlineStr">
        <is>
          <t>VÄSTRA GÖTALANDS LÄN</t>
        </is>
      </c>
      <c r="G412" t="inlineStr">
        <is>
          <t>TRANEMO</t>
        </is>
      </c>
      <c r="I412" t="n">
        <v>5.9</v>
      </c>
      <c r="J412" t="n">
        <v>0</v>
      </c>
      <c r="K412" t="n">
        <v>0</v>
      </c>
      <c r="L412" t="n">
        <v>0</v>
      </c>
      <c r="M412" t="n">
        <v>0</v>
      </c>
      <c r="N412" t="n">
        <v>0</v>
      </c>
      <c r="O412" t="n">
        <v>0</v>
      </c>
      <c r="P412" t="n">
        <v>0</v>
      </c>
      <c r="Q412" t="n">
        <v>0</v>
      </c>
      <c r="R412" t="n">
        <v>0</v>
      </c>
      <c r="S412" t="n">
        <v>0</v>
      </c>
      <c r="T412" t="n">
        <v>0</v>
      </c>
      <c r="U412" s="2" t="inlineStr"/>
    </row>
    <row r="413" ht="15" customHeight="1">
      <c r="A413" t="inlineStr">
        <is>
          <t>A 5022-2022</t>
        </is>
      </c>
      <c r="B413" t="inlineStr">
        <is>
          <t>avverkningsanmälan</t>
        </is>
      </c>
      <c r="C413" t="inlineStr">
        <is>
          <t>Föryngringsavverkning</t>
        </is>
      </c>
      <c r="D413" s="1" t="n">
        <v>44593</v>
      </c>
      <c r="E413" s="1" t="n">
        <v>46216</v>
      </c>
      <c r="F413" t="inlineStr">
        <is>
          <t>VÄSTRA GÖTALANDS LÄN</t>
        </is>
      </c>
      <c r="G413" t="inlineStr">
        <is>
          <t>TRANEMO</t>
        </is>
      </c>
      <c r="I413" t="n">
        <v>4.3</v>
      </c>
      <c r="J413" t="n">
        <v>0</v>
      </c>
      <c r="K413" t="n">
        <v>0</v>
      </c>
      <c r="L413" t="n">
        <v>0</v>
      </c>
      <c r="M413" t="n">
        <v>0</v>
      </c>
      <c r="N413" t="n">
        <v>0</v>
      </c>
      <c r="O413" t="n">
        <v>0</v>
      </c>
      <c r="P413" t="n">
        <v>0</v>
      </c>
      <c r="Q413" t="n">
        <v>0</v>
      </c>
      <c r="R413" t="n">
        <v>0</v>
      </c>
      <c r="S413" t="n">
        <v>0</v>
      </c>
      <c r="T413" t="n">
        <v>0</v>
      </c>
      <c r="U413" s="2" t="inlineStr"/>
    </row>
    <row r="414" ht="15" customHeight="1">
      <c r="A414" t="inlineStr">
        <is>
          <t>A 38015-2024</t>
        </is>
      </c>
      <c r="B414" t="inlineStr">
        <is>
          <t>avverkningsanmälan</t>
        </is>
      </c>
      <c r="C414" t="inlineStr">
        <is>
          <t>Föryngringsavverkning</t>
        </is>
      </c>
      <c r="D414" s="1" t="n">
        <v>45544</v>
      </c>
      <c r="E414" s="1" t="n">
        <v>46216</v>
      </c>
      <c r="F414" t="inlineStr">
        <is>
          <t>VÄSTRA GÖTALANDS LÄN</t>
        </is>
      </c>
      <c r="G414" t="inlineStr">
        <is>
          <t>TRANEMO</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10231-2025</t>
        </is>
      </c>
      <c r="B415" t="inlineStr">
        <is>
          <t>avverkningsanmälan</t>
        </is>
      </c>
      <c r="C415" t="inlineStr">
        <is>
          <t>Föryngringsavverkning</t>
        </is>
      </c>
      <c r="D415" s="1" t="n">
        <v>45720</v>
      </c>
      <c r="E415" s="1" t="n">
        <v>46216</v>
      </c>
      <c r="F415" t="inlineStr">
        <is>
          <t>VÄSTRA GÖTALANDS LÄN</t>
        </is>
      </c>
      <c r="G415" t="inlineStr">
        <is>
          <t>TRANEMO</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24218-2022</t>
        </is>
      </c>
      <c r="B416" t="inlineStr">
        <is>
          <t>avverkningsanmälan</t>
        </is>
      </c>
      <c r="C416" t="inlineStr">
        <is>
          <t>Föryngringsavverkning</t>
        </is>
      </c>
      <c r="D416" s="1" t="n">
        <v>44725</v>
      </c>
      <c r="E416" s="1" t="n">
        <v>46216</v>
      </c>
      <c r="F416" t="inlineStr">
        <is>
          <t>VÄSTRA GÖTALANDS LÄN</t>
        </is>
      </c>
      <c r="G416" t="inlineStr">
        <is>
          <t>TRANEMO</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9777-2024</t>
        </is>
      </c>
      <c r="B417" t="inlineStr">
        <is>
          <t>avverkningsanmälan</t>
        </is>
      </c>
      <c r="C417" t="inlineStr">
        <is>
          <t>Föryngringsavverkning</t>
        </is>
      </c>
      <c r="D417" s="1" t="n">
        <v>45362</v>
      </c>
      <c r="E417" s="1" t="n">
        <v>46216</v>
      </c>
      <c r="F417" t="inlineStr">
        <is>
          <t>VÄSTRA GÖTALANDS LÄN</t>
        </is>
      </c>
      <c r="G417" t="inlineStr">
        <is>
          <t>TRANEMO</t>
        </is>
      </c>
      <c r="I417" t="n">
        <v>2.4</v>
      </c>
      <c r="J417" t="n">
        <v>0</v>
      </c>
      <c r="K417" t="n">
        <v>0</v>
      </c>
      <c r="L417" t="n">
        <v>0</v>
      </c>
      <c r="M417" t="n">
        <v>0</v>
      </c>
      <c r="N417" t="n">
        <v>0</v>
      </c>
      <c r="O417" t="n">
        <v>0</v>
      </c>
      <c r="P417" t="n">
        <v>0</v>
      </c>
      <c r="Q417" t="n">
        <v>0</v>
      </c>
      <c r="R417" t="n">
        <v>0</v>
      </c>
      <c r="S417" t="n">
        <v>0</v>
      </c>
      <c r="T417" t="n">
        <v>0</v>
      </c>
      <c r="U417" s="2" t="inlineStr"/>
    </row>
    <row r="418" ht="15" customHeight="1">
      <c r="A418" t="inlineStr">
        <is>
          <t>A 26295-2026</t>
        </is>
      </c>
      <c r="B418" t="inlineStr">
        <is>
          <t>avverkningsanmälan</t>
        </is>
      </c>
      <c r="C418" t="inlineStr">
        <is>
          <t>Föryngringsavverkning</t>
        </is>
      </c>
      <c r="D418" s="1" t="n">
        <v>46182</v>
      </c>
      <c r="E418" s="1" t="n">
        <v>46216</v>
      </c>
      <c r="F418" t="inlineStr">
        <is>
          <t>VÄSTRA GÖTALANDS LÄN</t>
        </is>
      </c>
      <c r="G418" t="inlineStr">
        <is>
          <t>TRANEMO</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36035-2022</t>
        </is>
      </c>
      <c r="B419" t="inlineStr">
        <is>
          <t>avverkningsanmälan</t>
        </is>
      </c>
      <c r="C419" t="inlineStr">
        <is>
          <t>Föryngringsavverkning</t>
        </is>
      </c>
      <c r="D419" s="1" t="n">
        <v>44802</v>
      </c>
      <c r="E419" s="1" t="n">
        <v>46216</v>
      </c>
      <c r="F419" t="inlineStr">
        <is>
          <t>VÄSTRA GÖTALANDS LÄN</t>
        </is>
      </c>
      <c r="G419" t="inlineStr">
        <is>
          <t>TRANEMO</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19495-2023</t>
        </is>
      </c>
      <c r="B420" t="inlineStr">
        <is>
          <t>avverkningsanmälan</t>
        </is>
      </c>
      <c r="C420" t="inlineStr">
        <is>
          <t>Föryngringsavverkning</t>
        </is>
      </c>
      <c r="D420" s="1" t="n">
        <v>45050</v>
      </c>
      <c r="E420" s="1" t="n">
        <v>46216</v>
      </c>
      <c r="F420" t="inlineStr">
        <is>
          <t>VÄSTRA GÖTALANDS LÄN</t>
        </is>
      </c>
      <c r="G420" t="inlineStr">
        <is>
          <t>TRANEMO</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37039-2021</t>
        </is>
      </c>
      <c r="B421" t="inlineStr">
        <is>
          <t>avverkningsanmälan</t>
        </is>
      </c>
      <c r="C421" t="inlineStr">
        <is>
          <t>Föryngringsavverkning</t>
        </is>
      </c>
      <c r="D421" s="1" t="n">
        <v>44393</v>
      </c>
      <c r="E421" s="1" t="n">
        <v>46216</v>
      </c>
      <c r="F421" t="inlineStr">
        <is>
          <t>VÄSTRA GÖTALANDS LÄN</t>
        </is>
      </c>
      <c r="G421" t="inlineStr">
        <is>
          <t>TRANEMO</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26867-2026</t>
        </is>
      </c>
      <c r="B422" t="inlineStr">
        <is>
          <t>avverkningsanmälan</t>
        </is>
      </c>
      <c r="C422" t="inlineStr">
        <is>
          <t>Föryngringsavverkning</t>
        </is>
      </c>
      <c r="D422" s="1" t="n">
        <v>46185</v>
      </c>
      <c r="E422" s="1" t="n">
        <v>46216</v>
      </c>
      <c r="F422" t="inlineStr">
        <is>
          <t>VÄSTRA GÖTALANDS LÄN</t>
        </is>
      </c>
      <c r="G422" t="inlineStr">
        <is>
          <t>TRANEMO</t>
        </is>
      </c>
      <c r="I422" t="n">
        <v>2.9</v>
      </c>
      <c r="J422" t="n">
        <v>0</v>
      </c>
      <c r="K422" t="n">
        <v>0</v>
      </c>
      <c r="L422" t="n">
        <v>0</v>
      </c>
      <c r="M422" t="n">
        <v>0</v>
      </c>
      <c r="N422" t="n">
        <v>0</v>
      </c>
      <c r="O422" t="n">
        <v>0</v>
      </c>
      <c r="P422" t="n">
        <v>0</v>
      </c>
      <c r="Q422" t="n">
        <v>0</v>
      </c>
      <c r="R422" t="n">
        <v>0</v>
      </c>
      <c r="S422" t="n">
        <v>0</v>
      </c>
      <c r="T422" t="n">
        <v>0</v>
      </c>
      <c r="U422" s="2" t="inlineStr"/>
    </row>
    <row r="423" ht="15" customHeight="1">
      <c r="A423" t="inlineStr">
        <is>
          <t>A 44167-2024</t>
        </is>
      </c>
      <c r="B423" t="inlineStr">
        <is>
          <t>avverkningsanmälan</t>
        </is>
      </c>
      <c r="C423" t="inlineStr">
        <is>
          <t>Föryngringsavverkning</t>
        </is>
      </c>
      <c r="D423" s="1" t="n">
        <v>45572</v>
      </c>
      <c r="E423" s="1" t="n">
        <v>46216</v>
      </c>
      <c r="F423" t="inlineStr">
        <is>
          <t>VÄSTRA GÖTALANDS LÄN</t>
        </is>
      </c>
      <c r="G423" t="inlineStr">
        <is>
          <t>TRANEMO</t>
        </is>
      </c>
      <c r="I423" t="n">
        <v>1.8</v>
      </c>
      <c r="J423" t="n">
        <v>0</v>
      </c>
      <c r="K423" t="n">
        <v>0</v>
      </c>
      <c r="L423" t="n">
        <v>0</v>
      </c>
      <c r="M423" t="n">
        <v>0</v>
      </c>
      <c r="N423" t="n">
        <v>0</v>
      </c>
      <c r="O423" t="n">
        <v>0</v>
      </c>
      <c r="P423" t="n">
        <v>0</v>
      </c>
      <c r="Q423" t="n">
        <v>0</v>
      </c>
      <c r="R423" t="n">
        <v>0</v>
      </c>
      <c r="S423" t="n">
        <v>0</v>
      </c>
      <c r="T423" t="n">
        <v>0</v>
      </c>
      <c r="U423" s="2" t="inlineStr"/>
    </row>
    <row r="424" ht="15" customHeight="1">
      <c r="A424" t="inlineStr">
        <is>
          <t>A 23015-2024</t>
        </is>
      </c>
      <c r="B424" t="inlineStr">
        <is>
          <t>avverkningsanmälan</t>
        </is>
      </c>
      <c r="C424" t="inlineStr">
        <is>
          <t>Föryngringsavverkning</t>
        </is>
      </c>
      <c r="D424" s="1" t="n">
        <v>45450</v>
      </c>
      <c r="E424" s="1" t="n">
        <v>46216</v>
      </c>
      <c r="F424" t="inlineStr">
        <is>
          <t>VÄSTRA GÖTALANDS LÄN</t>
        </is>
      </c>
      <c r="G424" t="inlineStr">
        <is>
          <t>TRANEMO</t>
        </is>
      </c>
      <c r="H424" t="inlineStr">
        <is>
          <t>Sveaskog</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12130-2024</t>
        </is>
      </c>
      <c r="B425" t="inlineStr">
        <is>
          <t>avverkningsanmälan</t>
        </is>
      </c>
      <c r="C425" t="inlineStr">
        <is>
          <t>Föryngringsavverkning</t>
        </is>
      </c>
      <c r="D425" s="1" t="n">
        <v>45377</v>
      </c>
      <c r="E425" s="1" t="n">
        <v>46216</v>
      </c>
      <c r="F425" t="inlineStr">
        <is>
          <t>VÄSTRA GÖTALANDS LÄN</t>
        </is>
      </c>
      <c r="G425" t="inlineStr">
        <is>
          <t>TRANEMO</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26856-2026</t>
        </is>
      </c>
      <c r="B426" t="inlineStr">
        <is>
          <t>avverkningsanmälan</t>
        </is>
      </c>
      <c r="C426" t="inlineStr">
        <is>
          <t>Föryngringsavverkning</t>
        </is>
      </c>
      <c r="D426" s="1" t="n">
        <v>46185</v>
      </c>
      <c r="E426" s="1" t="n">
        <v>46216</v>
      </c>
      <c r="F426" t="inlineStr">
        <is>
          <t>VÄSTRA GÖTALANDS LÄN</t>
        </is>
      </c>
      <c r="G426" t="inlineStr">
        <is>
          <t>TRANEMO</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50521-2022</t>
        </is>
      </c>
      <c r="B427" t="inlineStr">
        <is>
          <t>avverkningsanmälan</t>
        </is>
      </c>
      <c r="C427" t="inlineStr">
        <is>
          <t>Föryngringsavverkning</t>
        </is>
      </c>
      <c r="D427" s="1" t="n">
        <v>44866</v>
      </c>
      <c r="E427" s="1" t="n">
        <v>46216</v>
      </c>
      <c r="F427" t="inlineStr">
        <is>
          <t>VÄSTRA GÖTALANDS LÄN</t>
        </is>
      </c>
      <c r="G427" t="inlineStr">
        <is>
          <t>TRANEMO</t>
        </is>
      </c>
      <c r="H427" t="inlineStr">
        <is>
          <t>Sveaskog</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26863-2026</t>
        </is>
      </c>
      <c r="B428" t="inlineStr">
        <is>
          <t>avverkningsanmälan</t>
        </is>
      </c>
      <c r="C428" t="inlineStr">
        <is>
          <t>Föryngringsavverkning</t>
        </is>
      </c>
      <c r="D428" s="1" t="n">
        <v>46185</v>
      </c>
      <c r="E428" s="1" t="n">
        <v>46216</v>
      </c>
      <c r="F428" t="inlineStr">
        <is>
          <t>VÄSTRA GÖTALANDS LÄN</t>
        </is>
      </c>
      <c r="G428" t="inlineStr">
        <is>
          <t>TRANEMO</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10881-2025</t>
        </is>
      </c>
      <c r="B429" t="inlineStr">
        <is>
          <t>avverkningsanmälan</t>
        </is>
      </c>
      <c r="C429" t="inlineStr">
        <is>
          <t>Föryngringsavverkning</t>
        </is>
      </c>
      <c r="D429" s="1" t="n">
        <v>45722</v>
      </c>
      <c r="E429" s="1" t="n">
        <v>46216</v>
      </c>
      <c r="F429" t="inlineStr">
        <is>
          <t>VÄSTRA GÖTALANDS LÄN</t>
        </is>
      </c>
      <c r="G429" t="inlineStr">
        <is>
          <t>TRANEMO</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38821-2024</t>
        </is>
      </c>
      <c r="B430" t="inlineStr">
        <is>
          <t>avverkningsanmälan</t>
        </is>
      </c>
      <c r="C430" t="inlineStr">
        <is>
          <t>Föryngringsavverkning</t>
        </is>
      </c>
      <c r="D430" s="1" t="n">
        <v>45547</v>
      </c>
      <c r="E430" s="1" t="n">
        <v>46216</v>
      </c>
      <c r="F430" t="inlineStr">
        <is>
          <t>VÄSTRA GÖTALANDS LÄN</t>
        </is>
      </c>
      <c r="G430" t="inlineStr">
        <is>
          <t>TRANEMO</t>
        </is>
      </c>
      <c r="H430" t="inlineStr">
        <is>
          <t>Sveaskog</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40169-2023</t>
        </is>
      </c>
      <c r="B431" t="inlineStr">
        <is>
          <t>avverkningsanmälan</t>
        </is>
      </c>
      <c r="C431" t="inlineStr">
        <is>
          <t>Föryngringsavverkning</t>
        </is>
      </c>
      <c r="D431" s="1" t="n">
        <v>45169</v>
      </c>
      <c r="E431" s="1" t="n">
        <v>46216</v>
      </c>
      <c r="F431" t="inlineStr">
        <is>
          <t>VÄSTRA GÖTALANDS LÄN</t>
        </is>
      </c>
      <c r="G431" t="inlineStr">
        <is>
          <t>TRANEMO</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20460-2022</t>
        </is>
      </c>
      <c r="B432" t="inlineStr">
        <is>
          <t>avverkningsanmälan</t>
        </is>
      </c>
      <c r="C432" t="inlineStr">
        <is>
          <t>Föryngringsavverkning</t>
        </is>
      </c>
      <c r="D432" s="1" t="n">
        <v>44699</v>
      </c>
      <c r="E432" s="1" t="n">
        <v>46216</v>
      </c>
      <c r="F432" t="inlineStr">
        <is>
          <t>VÄSTRA GÖTALANDS LÄN</t>
        </is>
      </c>
      <c r="G432" t="inlineStr">
        <is>
          <t>TRANEMO</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5669-2024</t>
        </is>
      </c>
      <c r="B433" t="inlineStr">
        <is>
          <t>avverkningsanmälan</t>
        </is>
      </c>
      <c r="C433" t="inlineStr">
        <is>
          <t>Föryngringsavverkning</t>
        </is>
      </c>
      <c r="D433" s="1" t="n">
        <v>45334</v>
      </c>
      <c r="E433" s="1" t="n">
        <v>46216</v>
      </c>
      <c r="F433" t="inlineStr">
        <is>
          <t>VÄSTRA GÖTALANDS LÄN</t>
        </is>
      </c>
      <c r="G433" t="inlineStr">
        <is>
          <t>TRANEMO</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27534-2026</t>
        </is>
      </c>
      <c r="B434" t="inlineStr">
        <is>
          <t>avverkningsanmälan</t>
        </is>
      </c>
      <c r="C434" t="inlineStr">
        <is>
          <t>Föryngringsavverkning</t>
        </is>
      </c>
      <c r="D434" s="1" t="n">
        <v>46190</v>
      </c>
      <c r="E434" s="1" t="n">
        <v>46216</v>
      </c>
      <c r="F434" t="inlineStr">
        <is>
          <t>VÄSTRA GÖTALANDS LÄN</t>
        </is>
      </c>
      <c r="G434" t="inlineStr">
        <is>
          <t>TRANEMO</t>
        </is>
      </c>
      <c r="I434" t="n">
        <v>4.4</v>
      </c>
      <c r="J434" t="n">
        <v>0</v>
      </c>
      <c r="K434" t="n">
        <v>0</v>
      </c>
      <c r="L434" t="n">
        <v>0</v>
      </c>
      <c r="M434" t="n">
        <v>0</v>
      </c>
      <c r="N434" t="n">
        <v>0</v>
      </c>
      <c r="O434" t="n">
        <v>0</v>
      </c>
      <c r="P434" t="n">
        <v>0</v>
      </c>
      <c r="Q434" t="n">
        <v>0</v>
      </c>
      <c r="R434" t="n">
        <v>0</v>
      </c>
      <c r="S434" t="n">
        <v>0</v>
      </c>
      <c r="T434" t="n">
        <v>0</v>
      </c>
      <c r="U434" s="2" t="inlineStr"/>
    </row>
    <row r="435" ht="15" customHeight="1">
      <c r="A435" t="inlineStr">
        <is>
          <t>A 27902-2026</t>
        </is>
      </c>
      <c r="B435" t="inlineStr">
        <is>
          <t>avverkningsanmälan</t>
        </is>
      </c>
      <c r="C435" t="inlineStr">
        <is>
          <t>Föryngringsavverkning</t>
        </is>
      </c>
      <c r="D435" s="1" t="n">
        <v>46191</v>
      </c>
      <c r="E435" s="1" t="n">
        <v>46216</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s="2" t="inlineStr"/>
    </row>
    <row r="436" ht="15" customHeight="1">
      <c r="A436" t="inlineStr">
        <is>
          <t>A 17319-2023</t>
        </is>
      </c>
      <c r="B436" t="inlineStr">
        <is>
          <t>avverkningsanmälan</t>
        </is>
      </c>
      <c r="C436" t="inlineStr">
        <is>
          <t>Föryngringsavverkning</t>
        </is>
      </c>
      <c r="D436" s="1" t="n">
        <v>45035</v>
      </c>
      <c r="E436" s="1" t="n">
        <v>46216</v>
      </c>
      <c r="F436" t="inlineStr">
        <is>
          <t>VÄSTRA GÖTALANDS LÄN</t>
        </is>
      </c>
      <c r="G436" t="inlineStr">
        <is>
          <t>TRANEMO</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17327-2023</t>
        </is>
      </c>
      <c r="B437" t="inlineStr">
        <is>
          <t>avverkningsanmälan</t>
        </is>
      </c>
      <c r="C437" t="inlineStr">
        <is>
          <t>Föryngringsavverkning</t>
        </is>
      </c>
      <c r="D437" s="1" t="n">
        <v>45035</v>
      </c>
      <c r="E437" s="1" t="n">
        <v>46216</v>
      </c>
      <c r="F437" t="inlineStr">
        <is>
          <t>VÄSTRA GÖTALANDS LÄN</t>
        </is>
      </c>
      <c r="G437" t="inlineStr">
        <is>
          <t>TRANEMO</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12113-2024</t>
        </is>
      </c>
      <c r="B438" t="inlineStr">
        <is>
          <t>avverkningsanmälan</t>
        </is>
      </c>
      <c r="C438" t="inlineStr">
        <is>
          <t>Föryngringsavverkning</t>
        </is>
      </c>
      <c r="D438" s="1" t="n">
        <v>45377</v>
      </c>
      <c r="E438" s="1" t="n">
        <v>46216</v>
      </c>
      <c r="F438" t="inlineStr">
        <is>
          <t>VÄSTRA GÖTALANDS LÄN</t>
        </is>
      </c>
      <c r="G438" t="inlineStr">
        <is>
          <t>TRANEMO</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4098-2023</t>
        </is>
      </c>
      <c r="B439" t="inlineStr">
        <is>
          <t>avverkningsanmälan</t>
        </is>
      </c>
      <c r="C439" t="inlineStr">
        <is>
          <t>Föryngringsavverkning</t>
        </is>
      </c>
      <c r="D439" s="1" t="n">
        <v>44952</v>
      </c>
      <c r="E439" s="1" t="n">
        <v>46216</v>
      </c>
      <c r="F439" t="inlineStr">
        <is>
          <t>VÄSTRA GÖTALANDS LÄN</t>
        </is>
      </c>
      <c r="G439" t="inlineStr">
        <is>
          <t>TRANEMO</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62205-2023</t>
        </is>
      </c>
      <c r="B440" t="inlineStr">
        <is>
          <t>avverkningsanmälan</t>
        </is>
      </c>
      <c r="C440" t="inlineStr">
        <is>
          <t>Föryngringsavverkning</t>
        </is>
      </c>
      <c r="D440" s="1" t="n">
        <v>45267</v>
      </c>
      <c r="E440" s="1" t="n">
        <v>46216</v>
      </c>
      <c r="F440" t="inlineStr">
        <is>
          <t>VÄSTRA GÖTALANDS LÄN</t>
        </is>
      </c>
      <c r="G440" t="inlineStr">
        <is>
          <t>TRANEMO</t>
        </is>
      </c>
      <c r="I440" t="n">
        <v>3</v>
      </c>
      <c r="J440" t="n">
        <v>0</v>
      </c>
      <c r="K440" t="n">
        <v>0</v>
      </c>
      <c r="L440" t="n">
        <v>0</v>
      </c>
      <c r="M440" t="n">
        <v>0</v>
      </c>
      <c r="N440" t="n">
        <v>0</v>
      </c>
      <c r="O440" t="n">
        <v>0</v>
      </c>
      <c r="P440" t="n">
        <v>0</v>
      </c>
      <c r="Q440" t="n">
        <v>0</v>
      </c>
      <c r="R440" t="n">
        <v>0</v>
      </c>
      <c r="S440" t="n">
        <v>0</v>
      </c>
      <c r="T440" t="n">
        <v>0</v>
      </c>
      <c r="U440" s="2" t="inlineStr"/>
    </row>
    <row r="441" ht="15" customHeight="1">
      <c r="A441" t="inlineStr">
        <is>
          <t>A 19492-2023</t>
        </is>
      </c>
      <c r="B441" t="inlineStr">
        <is>
          <t>avverkningsanmälan</t>
        </is>
      </c>
      <c r="C441" t="inlineStr">
        <is>
          <t>Föryngringsavverkning</t>
        </is>
      </c>
      <c r="D441" s="1" t="n">
        <v>45050</v>
      </c>
      <c r="E441" s="1" t="n">
        <v>46216</v>
      </c>
      <c r="F441" t="inlineStr">
        <is>
          <t>VÄSTRA GÖTALANDS LÄN</t>
        </is>
      </c>
      <c r="G441" t="inlineStr">
        <is>
          <t>TRANEMO</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67375-2021</t>
        </is>
      </c>
      <c r="B442" t="inlineStr">
        <is>
          <t>avverkningsanmälan</t>
        </is>
      </c>
      <c r="C442" t="inlineStr">
        <is>
          <t>Föryngringsavverkning</t>
        </is>
      </c>
      <c r="D442" s="1" t="n">
        <v>44523</v>
      </c>
      <c r="E442" s="1" t="n">
        <v>46216</v>
      </c>
      <c r="F442" t="inlineStr">
        <is>
          <t>VÄSTRA GÖTALANDS LÄN</t>
        </is>
      </c>
      <c r="G442" t="inlineStr">
        <is>
          <t>TRANEMO</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64453-2021</t>
        </is>
      </c>
      <c r="B443" t="inlineStr">
        <is>
          <t>avverkningsanmälan</t>
        </is>
      </c>
      <c r="C443" t="inlineStr">
        <is>
          <t>Föryngringsavverkning</t>
        </is>
      </c>
      <c r="D443" s="1" t="n">
        <v>44511</v>
      </c>
      <c r="E443" s="1" t="n">
        <v>46216</v>
      </c>
      <c r="F443" t="inlineStr">
        <is>
          <t>VÄSTRA GÖTALANDS LÄN</t>
        </is>
      </c>
      <c r="G443" t="inlineStr">
        <is>
          <t>TRANEMO</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27955-2026</t>
        </is>
      </c>
      <c r="B444" t="inlineStr">
        <is>
          <t>avverkningsanmälan</t>
        </is>
      </c>
      <c r="C444" t="inlineStr">
        <is>
          <t>Föryngringsavverkning</t>
        </is>
      </c>
      <c r="D444" s="1" t="n">
        <v>46193</v>
      </c>
      <c r="E444" s="1" t="n">
        <v>46216</v>
      </c>
      <c r="F444" t="inlineStr">
        <is>
          <t>VÄSTRA GÖTALANDS LÄN</t>
        </is>
      </c>
      <c r="G444" t="inlineStr">
        <is>
          <t>TRANEMO</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64460-2021</t>
        </is>
      </c>
      <c r="B445" t="inlineStr">
        <is>
          <t>avverkningsanmälan</t>
        </is>
      </c>
      <c r="C445" t="inlineStr">
        <is>
          <t>Föryngringsavverkning</t>
        </is>
      </c>
      <c r="D445" s="1" t="n">
        <v>44511</v>
      </c>
      <c r="E445" s="1" t="n">
        <v>46216</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27667-2023</t>
        </is>
      </c>
      <c r="B446" t="inlineStr">
        <is>
          <t>avverkningsanmälan</t>
        </is>
      </c>
      <c r="C446" t="inlineStr">
        <is>
          <t>Föryngringsavverkning</t>
        </is>
      </c>
      <c r="D446" s="1" t="n">
        <v>45097</v>
      </c>
      <c r="E446" s="1" t="n">
        <v>46216</v>
      </c>
      <c r="F446" t="inlineStr">
        <is>
          <t>VÄSTRA GÖTALANDS LÄN</t>
        </is>
      </c>
      <c r="G446" t="inlineStr">
        <is>
          <t>TRANEMO</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49270-2023</t>
        </is>
      </c>
      <c r="B447" t="inlineStr">
        <is>
          <t>avverkningsanmälan</t>
        </is>
      </c>
      <c r="C447" t="inlineStr">
        <is>
          <t>Föryngringsavverkning</t>
        </is>
      </c>
      <c r="D447" s="1" t="n">
        <v>45210</v>
      </c>
      <c r="E447" s="1" t="n">
        <v>46216</v>
      </c>
      <c r="F447" t="inlineStr">
        <is>
          <t>VÄSTRA GÖTALANDS LÄN</t>
        </is>
      </c>
      <c r="G447" t="inlineStr">
        <is>
          <t>TRANEMO</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32918-2022</t>
        </is>
      </c>
      <c r="B448" t="inlineStr">
        <is>
          <t>avverkningsanmälan</t>
        </is>
      </c>
      <c r="C448" t="inlineStr">
        <is>
          <t>Föryngringsavverkning</t>
        </is>
      </c>
      <c r="D448" s="1" t="n">
        <v>44784</v>
      </c>
      <c r="E448" s="1" t="n">
        <v>46216</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46081-2023</t>
        </is>
      </c>
      <c r="B449" t="inlineStr">
        <is>
          <t>avverkningsanmälan</t>
        </is>
      </c>
      <c r="C449" t="inlineStr">
        <is>
          <t>Föryngringsavverkning</t>
        </is>
      </c>
      <c r="D449" s="1" t="n">
        <v>45196</v>
      </c>
      <c r="E449" s="1" t="n">
        <v>46216</v>
      </c>
      <c r="F449" t="inlineStr">
        <is>
          <t>VÄSTRA GÖTALANDS LÄN</t>
        </is>
      </c>
      <c r="G449" t="inlineStr">
        <is>
          <t>TRANEMO</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13945-2024</t>
        </is>
      </c>
      <c r="B450" t="inlineStr">
        <is>
          <t>avverkningsanmälan</t>
        </is>
      </c>
      <c r="C450" t="inlineStr">
        <is>
          <t>Föryngringsavverkning</t>
        </is>
      </c>
      <c r="D450" s="1" t="n">
        <v>45392</v>
      </c>
      <c r="E450" s="1" t="n">
        <v>46216</v>
      </c>
      <c r="F450" t="inlineStr">
        <is>
          <t>VÄSTRA GÖTALANDS LÄN</t>
        </is>
      </c>
      <c r="G450" t="inlineStr">
        <is>
          <t>TRANEMO</t>
        </is>
      </c>
      <c r="I450" t="n">
        <v>3.7</v>
      </c>
      <c r="J450" t="n">
        <v>0</v>
      </c>
      <c r="K450" t="n">
        <v>0</v>
      </c>
      <c r="L450" t="n">
        <v>0</v>
      </c>
      <c r="M450" t="n">
        <v>0</v>
      </c>
      <c r="N450" t="n">
        <v>0</v>
      </c>
      <c r="O450" t="n">
        <v>0</v>
      </c>
      <c r="P450" t="n">
        <v>0</v>
      </c>
      <c r="Q450" t="n">
        <v>0</v>
      </c>
      <c r="R450" t="n">
        <v>0</v>
      </c>
      <c r="S450" t="n">
        <v>0</v>
      </c>
      <c r="T450" t="n">
        <v>0</v>
      </c>
      <c r="U450" s="2" t="inlineStr"/>
    </row>
    <row r="451" ht="15" customHeight="1">
      <c r="A451" t="inlineStr">
        <is>
          <t>A 13949-2024</t>
        </is>
      </c>
      <c r="B451" t="inlineStr">
        <is>
          <t>avverkningsanmälan</t>
        </is>
      </c>
      <c r="C451" t="inlineStr">
        <is>
          <t>Föryngringsavverkning</t>
        </is>
      </c>
      <c r="D451" s="1" t="n">
        <v>45392</v>
      </c>
      <c r="E451" s="1" t="n">
        <v>46216</v>
      </c>
      <c r="F451" t="inlineStr">
        <is>
          <t>VÄSTRA GÖTALANDS LÄN</t>
        </is>
      </c>
      <c r="G451" t="inlineStr">
        <is>
          <t>TRANEMO</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58976-2023</t>
        </is>
      </c>
      <c r="B452" t="inlineStr">
        <is>
          <t>avverkningsanmälan</t>
        </is>
      </c>
      <c r="C452" t="inlineStr">
        <is>
          <t>Föryngringsavverkning</t>
        </is>
      </c>
      <c r="D452" s="1" t="n">
        <v>45252</v>
      </c>
      <c r="E452" s="1" t="n">
        <v>46216</v>
      </c>
      <c r="F452" t="inlineStr">
        <is>
          <t>VÄSTRA GÖTALANDS LÄN</t>
        </is>
      </c>
      <c r="G452" t="inlineStr">
        <is>
          <t>TRANEMO</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57367-2024</t>
        </is>
      </c>
      <c r="B453" t="inlineStr">
        <is>
          <t>avverkningsanmälan</t>
        </is>
      </c>
      <c r="C453" t="inlineStr">
        <is>
          <t>Föryngringsavverkning</t>
        </is>
      </c>
      <c r="D453" s="1" t="n">
        <v>45629</v>
      </c>
      <c r="E453" s="1" t="n">
        <v>46216</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57372-2024</t>
        </is>
      </c>
      <c r="B454" t="inlineStr">
        <is>
          <t>avverkningsanmälan</t>
        </is>
      </c>
      <c r="C454" t="inlineStr">
        <is>
          <t>Föryngringsavverkning</t>
        </is>
      </c>
      <c r="D454" s="1" t="n">
        <v>45629</v>
      </c>
      <c r="E454" s="1" t="n">
        <v>46216</v>
      </c>
      <c r="F454" t="inlineStr">
        <is>
          <t>VÄSTRA GÖTALANDS LÄN</t>
        </is>
      </c>
      <c r="G454" t="inlineStr">
        <is>
          <t>TRANEMO</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28582-2026</t>
        </is>
      </c>
      <c r="B455" t="inlineStr">
        <is>
          <t>avverkningsanmälan</t>
        </is>
      </c>
      <c r="C455" t="inlineStr">
        <is>
          <t>Föryngringsavverkning</t>
        </is>
      </c>
      <c r="D455" s="1" t="n">
        <v>46197</v>
      </c>
      <c r="E455" s="1" t="n">
        <v>46216</v>
      </c>
      <c r="F455" t="inlineStr">
        <is>
          <t>VÄSTRA GÖTALANDS LÄN</t>
        </is>
      </c>
      <c r="G455" t="inlineStr">
        <is>
          <t>TRANEMO</t>
        </is>
      </c>
      <c r="I455" t="n">
        <v>3.5</v>
      </c>
      <c r="J455" t="n">
        <v>0</v>
      </c>
      <c r="K455" t="n">
        <v>0</v>
      </c>
      <c r="L455" t="n">
        <v>0</v>
      </c>
      <c r="M455" t="n">
        <v>0</v>
      </c>
      <c r="N455" t="n">
        <v>0</v>
      </c>
      <c r="O455" t="n">
        <v>0</v>
      </c>
      <c r="P455" t="n">
        <v>0</v>
      </c>
      <c r="Q455" t="n">
        <v>0</v>
      </c>
      <c r="R455" t="n">
        <v>0</v>
      </c>
      <c r="S455" t="n">
        <v>0</v>
      </c>
      <c r="T455" t="n">
        <v>0</v>
      </c>
      <c r="U455" s="2" t="inlineStr"/>
    </row>
    <row r="456" ht="15" customHeight="1">
      <c r="A456" t="inlineStr">
        <is>
          <t>A 28583-2026</t>
        </is>
      </c>
      <c r="B456" t="inlineStr">
        <is>
          <t>avverkningsanmälan</t>
        </is>
      </c>
      <c r="C456" t="inlineStr">
        <is>
          <t>Föryngringsavverkning</t>
        </is>
      </c>
      <c r="D456" s="1" t="n">
        <v>46197</v>
      </c>
      <c r="E456" s="1" t="n">
        <v>46216</v>
      </c>
      <c r="F456" t="inlineStr">
        <is>
          <t>VÄSTRA GÖTALANDS LÄN</t>
        </is>
      </c>
      <c r="G456" t="inlineStr">
        <is>
          <t>TRANEMO</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13668-2025</t>
        </is>
      </c>
      <c r="B457" t="inlineStr">
        <is>
          <t>avverkningsanmälan</t>
        </is>
      </c>
      <c r="C457" t="inlineStr">
        <is>
          <t>Föryngringsavverkning</t>
        </is>
      </c>
      <c r="D457" s="1" t="n">
        <v>45736</v>
      </c>
      <c r="E457" s="1" t="n">
        <v>46216</v>
      </c>
      <c r="F457" t="inlineStr">
        <is>
          <t>VÄSTRA GÖTALANDS LÄN</t>
        </is>
      </c>
      <c r="G457" t="inlineStr">
        <is>
          <t>TRANEMO</t>
        </is>
      </c>
      <c r="I457" t="n">
        <v>11.4</v>
      </c>
      <c r="J457" t="n">
        <v>0</v>
      </c>
      <c r="K457" t="n">
        <v>0</v>
      </c>
      <c r="L457" t="n">
        <v>0</v>
      </c>
      <c r="M457" t="n">
        <v>0</v>
      </c>
      <c r="N457" t="n">
        <v>0</v>
      </c>
      <c r="O457" t="n">
        <v>0</v>
      </c>
      <c r="P457" t="n">
        <v>0</v>
      </c>
      <c r="Q457" t="n">
        <v>0</v>
      </c>
      <c r="R457" t="n">
        <v>0</v>
      </c>
      <c r="S457" t="n">
        <v>0</v>
      </c>
      <c r="T457" t="n">
        <v>0</v>
      </c>
      <c r="U457" s="2" t="inlineStr"/>
    </row>
    <row r="458" ht="15" customHeight="1">
      <c r="A458" t="inlineStr">
        <is>
          <t>A 13667-2024</t>
        </is>
      </c>
      <c r="B458" t="inlineStr">
        <is>
          <t>avverkningsanmälan</t>
        </is>
      </c>
      <c r="C458" t="inlineStr">
        <is>
          <t>Föryngringsavverkning</t>
        </is>
      </c>
      <c r="D458" s="1" t="n">
        <v>45390</v>
      </c>
      <c r="E458" s="1" t="n">
        <v>46216</v>
      </c>
      <c r="F458" t="inlineStr">
        <is>
          <t>VÄSTRA GÖTALANDS LÄN</t>
        </is>
      </c>
      <c r="G458" t="inlineStr">
        <is>
          <t>TRANEMO</t>
        </is>
      </c>
      <c r="H458" t="inlineStr">
        <is>
          <t>Sveaskog</t>
        </is>
      </c>
      <c r="I458" t="n">
        <v>6.7</v>
      </c>
      <c r="J458" t="n">
        <v>0</v>
      </c>
      <c r="K458" t="n">
        <v>0</v>
      </c>
      <c r="L458" t="n">
        <v>0</v>
      </c>
      <c r="M458" t="n">
        <v>0</v>
      </c>
      <c r="N458" t="n">
        <v>0</v>
      </c>
      <c r="O458" t="n">
        <v>0</v>
      </c>
      <c r="P458" t="n">
        <v>0</v>
      </c>
      <c r="Q458" t="n">
        <v>0</v>
      </c>
      <c r="R458" t="n">
        <v>0</v>
      </c>
      <c r="S458" t="n">
        <v>0</v>
      </c>
      <c r="T458" t="n">
        <v>0</v>
      </c>
      <c r="U458" s="2" t="inlineStr"/>
    </row>
    <row r="459" ht="15" customHeight="1">
      <c r="A459" t="inlineStr">
        <is>
          <t>A 5667-2024</t>
        </is>
      </c>
      <c r="B459" t="inlineStr">
        <is>
          <t>avverkningsanmälan</t>
        </is>
      </c>
      <c r="C459" t="inlineStr">
        <is>
          <t>Föryngringsavverkning</t>
        </is>
      </c>
      <c r="D459" s="1" t="n">
        <v>45334</v>
      </c>
      <c r="E459" s="1" t="n">
        <v>46216</v>
      </c>
      <c r="F459" t="inlineStr">
        <is>
          <t>VÄSTRA GÖTALANDS LÄN</t>
        </is>
      </c>
      <c r="G459" t="inlineStr">
        <is>
          <t>TRANEMO</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17488-2022</t>
        </is>
      </c>
      <c r="B460" t="inlineStr">
        <is>
          <t>avverkningsanmälan</t>
        </is>
      </c>
      <c r="C460" t="inlineStr">
        <is>
          <t>Föryngringsavverkning</t>
        </is>
      </c>
      <c r="D460" s="1" t="n">
        <v>44679</v>
      </c>
      <c r="E460" s="1" t="n">
        <v>46216</v>
      </c>
      <c r="F460" t="inlineStr">
        <is>
          <t>VÄSTRA GÖTALANDS LÄN</t>
        </is>
      </c>
      <c r="G460" t="inlineStr">
        <is>
          <t>TRANEMO</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46684-2022</t>
        </is>
      </c>
      <c r="B461" t="inlineStr">
        <is>
          <t>avverkningsanmälan</t>
        </is>
      </c>
      <c r="C461" t="inlineStr">
        <is>
          <t>Föryngringsavverkning</t>
        </is>
      </c>
      <c r="D461" s="1" t="n">
        <v>44851</v>
      </c>
      <c r="E461" s="1" t="n">
        <v>46216</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43315-2024</t>
        </is>
      </c>
      <c r="B462" t="inlineStr">
        <is>
          <t>avverkningsanmälan</t>
        </is>
      </c>
      <c r="C462" t="inlineStr">
        <is>
          <t>Föryngringsavverkning</t>
        </is>
      </c>
      <c r="D462" s="1" t="n">
        <v>45568</v>
      </c>
      <c r="E462" s="1" t="n">
        <v>46216</v>
      </c>
      <c r="F462" t="inlineStr">
        <is>
          <t>VÄSTRA GÖTALANDS LÄN</t>
        </is>
      </c>
      <c r="G462" t="inlineStr">
        <is>
          <t>TRANEMO</t>
        </is>
      </c>
      <c r="I462" t="n">
        <v>4.1</v>
      </c>
      <c r="J462" t="n">
        <v>0</v>
      </c>
      <c r="K462" t="n">
        <v>0</v>
      </c>
      <c r="L462" t="n">
        <v>0</v>
      </c>
      <c r="M462" t="n">
        <v>0</v>
      </c>
      <c r="N462" t="n">
        <v>0</v>
      </c>
      <c r="O462" t="n">
        <v>0</v>
      </c>
      <c r="P462" t="n">
        <v>0</v>
      </c>
      <c r="Q462" t="n">
        <v>0</v>
      </c>
      <c r="R462" t="n">
        <v>0</v>
      </c>
      <c r="S462" t="n">
        <v>0</v>
      </c>
      <c r="T462" t="n">
        <v>0</v>
      </c>
      <c r="U462" s="2" t="inlineStr"/>
    </row>
    <row r="463" ht="15" customHeight="1">
      <c r="A463" t="inlineStr">
        <is>
          <t>A 17501-2024</t>
        </is>
      </c>
      <c r="B463" t="inlineStr">
        <is>
          <t>avverkningsanmälan</t>
        </is>
      </c>
      <c r="C463" t="inlineStr">
        <is>
          <t>Föryngringsavverkning</t>
        </is>
      </c>
      <c r="D463" s="1" t="n">
        <v>45415</v>
      </c>
      <c r="E463" s="1" t="n">
        <v>46216</v>
      </c>
      <c r="F463" t="inlineStr">
        <is>
          <t>VÄSTRA GÖTALANDS LÄN</t>
        </is>
      </c>
      <c r="G463" t="inlineStr">
        <is>
          <t>TRANEMO</t>
        </is>
      </c>
      <c r="I463" t="n">
        <v>2.4</v>
      </c>
      <c r="J463" t="n">
        <v>0</v>
      </c>
      <c r="K463" t="n">
        <v>0</v>
      </c>
      <c r="L463" t="n">
        <v>0</v>
      </c>
      <c r="M463" t="n">
        <v>0</v>
      </c>
      <c r="N463" t="n">
        <v>0</v>
      </c>
      <c r="O463" t="n">
        <v>0</v>
      </c>
      <c r="P463" t="n">
        <v>0</v>
      </c>
      <c r="Q463" t="n">
        <v>0</v>
      </c>
      <c r="R463" t="n">
        <v>0</v>
      </c>
      <c r="S463" t="n">
        <v>0</v>
      </c>
      <c r="T463" t="n">
        <v>0</v>
      </c>
      <c r="U463" s="2" t="inlineStr"/>
    </row>
    <row r="464" ht="15" customHeight="1">
      <c r="A464" t="inlineStr">
        <is>
          <t>A 9826-2025</t>
        </is>
      </c>
      <c r="B464" t="inlineStr">
        <is>
          <t>avverkningsanmälan</t>
        </is>
      </c>
      <c r="C464" t="inlineStr">
        <is>
          <t>Föryngringsavverkning</t>
        </is>
      </c>
      <c r="D464" s="1" t="n">
        <v>45716</v>
      </c>
      <c r="E464" s="1" t="n">
        <v>46216</v>
      </c>
      <c r="F464" t="inlineStr">
        <is>
          <t>VÄSTRA GÖTALANDS LÄN</t>
        </is>
      </c>
      <c r="G464" t="inlineStr">
        <is>
          <t>TRANEMO</t>
        </is>
      </c>
      <c r="H464" t="inlineStr">
        <is>
          <t>Kyrkan</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27328-2024</t>
        </is>
      </c>
      <c r="B465" t="inlineStr">
        <is>
          <t>avverkningsanmälan</t>
        </is>
      </c>
      <c r="C465" t="inlineStr">
        <is>
          <t>Föryngringsavverkning</t>
        </is>
      </c>
      <c r="D465" s="1" t="n">
        <v>45472</v>
      </c>
      <c r="E465" s="1" t="n">
        <v>46216</v>
      </c>
      <c r="F465" t="inlineStr">
        <is>
          <t>VÄSTRA GÖTALANDS LÄN</t>
        </is>
      </c>
      <c r="G465" t="inlineStr">
        <is>
          <t>TRANEMO</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53084-2023</t>
        </is>
      </c>
      <c r="B466" t="inlineStr">
        <is>
          <t>avverkningsanmälan</t>
        </is>
      </c>
      <c r="C466" t="inlineStr">
        <is>
          <t>Föryngringsavverkning</t>
        </is>
      </c>
      <c r="D466" s="1" t="n">
        <v>45227</v>
      </c>
      <c r="E466" s="1" t="n">
        <v>46216</v>
      </c>
      <c r="F466" t="inlineStr">
        <is>
          <t>VÄSTRA GÖTALANDS LÄN</t>
        </is>
      </c>
      <c r="G466" t="inlineStr">
        <is>
          <t>TRANEMO</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28975-2026</t>
        </is>
      </c>
      <c r="B467" t="inlineStr">
        <is>
          <t>avverkningsanmälan</t>
        </is>
      </c>
      <c r="C467" t="inlineStr">
        <is>
          <t>Föryngringsavverkning</t>
        </is>
      </c>
      <c r="D467" s="1" t="n">
        <v>46199</v>
      </c>
      <c r="E467" s="1" t="n">
        <v>46216</v>
      </c>
      <c r="F467" t="inlineStr">
        <is>
          <t>VÄSTRA GÖTALANDS LÄN</t>
        </is>
      </c>
      <c r="G467" t="inlineStr">
        <is>
          <t>TRANEMO</t>
        </is>
      </c>
      <c r="I467" t="n">
        <v>4</v>
      </c>
      <c r="J467" t="n">
        <v>0</v>
      </c>
      <c r="K467" t="n">
        <v>0</v>
      </c>
      <c r="L467" t="n">
        <v>0</v>
      </c>
      <c r="M467" t="n">
        <v>0</v>
      </c>
      <c r="N467" t="n">
        <v>0</v>
      </c>
      <c r="O467" t="n">
        <v>0</v>
      </c>
      <c r="P467" t="n">
        <v>0</v>
      </c>
      <c r="Q467" t="n">
        <v>0</v>
      </c>
      <c r="R467" t="n">
        <v>0</v>
      </c>
      <c r="S467" t="n">
        <v>0</v>
      </c>
      <c r="T467" t="n">
        <v>0</v>
      </c>
      <c r="U467" s="2" t="inlineStr"/>
    </row>
    <row r="468" ht="15" customHeight="1">
      <c r="A468" t="inlineStr">
        <is>
          <t>A 13871-2024</t>
        </is>
      </c>
      <c r="B468" t="inlineStr">
        <is>
          <t>avverkningsanmälan</t>
        </is>
      </c>
      <c r="C468" t="inlineStr">
        <is>
          <t>Föryngringsavverkning</t>
        </is>
      </c>
      <c r="D468" s="1" t="n">
        <v>45391</v>
      </c>
      <c r="E468" s="1" t="n">
        <v>46216</v>
      </c>
      <c r="F468" t="inlineStr">
        <is>
          <t>VÄSTRA GÖTALANDS LÄN</t>
        </is>
      </c>
      <c r="G468" t="inlineStr">
        <is>
          <t>TRANEMO</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50523-2022</t>
        </is>
      </c>
      <c r="B469" t="inlineStr">
        <is>
          <t>avverkningsanmälan</t>
        </is>
      </c>
      <c r="C469" t="inlineStr">
        <is>
          <t>Föryngringsavverkning</t>
        </is>
      </c>
      <c r="D469" s="1" t="n">
        <v>44866</v>
      </c>
      <c r="E469" s="1" t="n">
        <v>46216</v>
      </c>
      <c r="F469" t="inlineStr">
        <is>
          <t>VÄSTRA GÖTALANDS LÄN</t>
        </is>
      </c>
      <c r="G469" t="inlineStr">
        <is>
          <t>TRANEMO</t>
        </is>
      </c>
      <c r="H469" t="inlineStr">
        <is>
          <t>Sveaskog</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60033-2023</t>
        </is>
      </c>
      <c r="B470" t="inlineStr">
        <is>
          <t>avverkningsanmälan</t>
        </is>
      </c>
      <c r="C470" t="inlineStr">
        <is>
          <t>Föryngringsavverkning</t>
        </is>
      </c>
      <c r="D470" s="1" t="n">
        <v>45258</v>
      </c>
      <c r="E470" s="1" t="n">
        <v>46216</v>
      </c>
      <c r="F470" t="inlineStr">
        <is>
          <t>VÄSTRA GÖTALANDS LÄN</t>
        </is>
      </c>
      <c r="G470" t="inlineStr">
        <is>
          <t>TRANEMO</t>
        </is>
      </c>
      <c r="I470" t="n">
        <v>9.5</v>
      </c>
      <c r="J470" t="n">
        <v>0</v>
      </c>
      <c r="K470" t="n">
        <v>0</v>
      </c>
      <c r="L470" t="n">
        <v>0</v>
      </c>
      <c r="M470" t="n">
        <v>0</v>
      </c>
      <c r="N470" t="n">
        <v>0</v>
      </c>
      <c r="O470" t="n">
        <v>0</v>
      </c>
      <c r="P470" t="n">
        <v>0</v>
      </c>
      <c r="Q470" t="n">
        <v>0</v>
      </c>
      <c r="R470" t="n">
        <v>0</v>
      </c>
      <c r="S470" t="n">
        <v>0</v>
      </c>
      <c r="T470" t="n">
        <v>0</v>
      </c>
      <c r="U470" s="2" t="inlineStr"/>
    </row>
    <row r="471" ht="15" customHeight="1">
      <c r="A471" t="inlineStr">
        <is>
          <t>A 29448-2026</t>
        </is>
      </c>
      <c r="B471" t="inlineStr">
        <is>
          <t>avverkningsanmälan</t>
        </is>
      </c>
      <c r="C471" t="inlineStr">
        <is>
          <t>Föryngringsavverkning</t>
        </is>
      </c>
      <c r="D471" s="1" t="n">
        <v>46203</v>
      </c>
      <c r="E471" s="1" t="n">
        <v>46216</v>
      </c>
      <c r="F471" t="inlineStr">
        <is>
          <t>VÄSTRA GÖTALANDS LÄN</t>
        </is>
      </c>
      <c r="G471" t="inlineStr">
        <is>
          <t>TRANEMO</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55349-2022</t>
        </is>
      </c>
      <c r="B472" t="inlineStr">
        <is>
          <t>avverkningsanmälan</t>
        </is>
      </c>
      <c r="C472" t="inlineStr">
        <is>
          <t>Föryngringsavverkning</t>
        </is>
      </c>
      <c r="D472" s="1" t="n">
        <v>44887</v>
      </c>
      <c r="E472" s="1" t="n">
        <v>46216</v>
      </c>
      <c r="F472" t="inlineStr">
        <is>
          <t>VÄSTRA GÖTALANDS LÄN</t>
        </is>
      </c>
      <c r="G472" t="inlineStr">
        <is>
          <t>TRANEMO</t>
        </is>
      </c>
      <c r="I472" t="n">
        <v>3.1</v>
      </c>
      <c r="J472" t="n">
        <v>0</v>
      </c>
      <c r="K472" t="n">
        <v>0</v>
      </c>
      <c r="L472" t="n">
        <v>0</v>
      </c>
      <c r="M472" t="n">
        <v>0</v>
      </c>
      <c r="N472" t="n">
        <v>0</v>
      </c>
      <c r="O472" t="n">
        <v>0</v>
      </c>
      <c r="P472" t="n">
        <v>0</v>
      </c>
      <c r="Q472" t="n">
        <v>0</v>
      </c>
      <c r="R472" t="n">
        <v>0</v>
      </c>
      <c r="S472" t="n">
        <v>0</v>
      </c>
      <c r="T472" t="n">
        <v>0</v>
      </c>
      <c r="U472" s="2" t="inlineStr"/>
    </row>
    <row r="473" ht="15" customHeight="1">
      <c r="A473" t="inlineStr">
        <is>
          <t>A 13785-2022</t>
        </is>
      </c>
      <c r="B473" t="inlineStr">
        <is>
          <t>avverkningsanmälan</t>
        </is>
      </c>
      <c r="C473" t="inlineStr">
        <is>
          <t>Föryngringsavverkning</t>
        </is>
      </c>
      <c r="D473" s="1" t="n">
        <v>44649</v>
      </c>
      <c r="E473" s="1" t="n">
        <v>46216</v>
      </c>
      <c r="F473" t="inlineStr">
        <is>
          <t>VÄSTRA GÖTALANDS LÄN</t>
        </is>
      </c>
      <c r="G473" t="inlineStr">
        <is>
          <t>TRANEMO</t>
        </is>
      </c>
      <c r="I473" t="n">
        <v>8.1</v>
      </c>
      <c r="J473" t="n">
        <v>0</v>
      </c>
      <c r="K473" t="n">
        <v>0</v>
      </c>
      <c r="L473" t="n">
        <v>0</v>
      </c>
      <c r="M473" t="n">
        <v>0</v>
      </c>
      <c r="N473" t="n">
        <v>0</v>
      </c>
      <c r="O473" t="n">
        <v>0</v>
      </c>
      <c r="P473" t="n">
        <v>0</v>
      </c>
      <c r="Q473" t="n">
        <v>0</v>
      </c>
      <c r="R473" t="n">
        <v>0</v>
      </c>
      <c r="S473" t="n">
        <v>0</v>
      </c>
      <c r="T473" t="n">
        <v>0</v>
      </c>
      <c r="U473" s="2" t="inlineStr"/>
    </row>
    <row r="474" ht="15" customHeight="1">
      <c r="A474" t="inlineStr">
        <is>
          <t>A 46835-2022</t>
        </is>
      </c>
      <c r="B474" t="inlineStr">
        <is>
          <t>avverkningsanmälan</t>
        </is>
      </c>
      <c r="C474" t="inlineStr">
        <is>
          <t>Föryngringsavverkning</t>
        </is>
      </c>
      <c r="D474" s="1" t="n">
        <v>44851</v>
      </c>
      <c r="E474" s="1" t="n">
        <v>46216</v>
      </c>
      <c r="F474" t="inlineStr">
        <is>
          <t>VÄSTRA GÖTALANDS LÄN</t>
        </is>
      </c>
      <c r="G474" t="inlineStr">
        <is>
          <t>TRANEMO</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10191-2022</t>
        </is>
      </c>
      <c r="B475" t="inlineStr">
        <is>
          <t>avverkningsanmälan</t>
        </is>
      </c>
      <c r="C475" t="inlineStr">
        <is>
          <t>Föryngringsavverkning</t>
        </is>
      </c>
      <c r="D475" s="1" t="n">
        <v>44622</v>
      </c>
      <c r="E475" s="1" t="n">
        <v>46216</v>
      </c>
      <c r="F475" t="inlineStr">
        <is>
          <t>VÄSTRA GÖTALANDS LÄN</t>
        </is>
      </c>
      <c r="G475" t="inlineStr">
        <is>
          <t>TRANEMO</t>
        </is>
      </c>
      <c r="I475" t="n">
        <v>5.5</v>
      </c>
      <c r="J475" t="n">
        <v>0</v>
      </c>
      <c r="K475" t="n">
        <v>0</v>
      </c>
      <c r="L475" t="n">
        <v>0</v>
      </c>
      <c r="M475" t="n">
        <v>0</v>
      </c>
      <c r="N475" t="n">
        <v>0</v>
      </c>
      <c r="O475" t="n">
        <v>0</v>
      </c>
      <c r="P475" t="n">
        <v>0</v>
      </c>
      <c r="Q475" t="n">
        <v>0</v>
      </c>
      <c r="R475" t="n">
        <v>0</v>
      </c>
      <c r="S475" t="n">
        <v>0</v>
      </c>
      <c r="T475" t="n">
        <v>0</v>
      </c>
      <c r="U475" s="2" t="inlineStr"/>
    </row>
    <row r="476" ht="15" customHeight="1">
      <c r="A476" t="inlineStr">
        <is>
          <t>A 10193-2022</t>
        </is>
      </c>
      <c r="B476" t="inlineStr">
        <is>
          <t>avverkningsanmälan</t>
        </is>
      </c>
      <c r="C476" t="inlineStr">
        <is>
          <t>Föryngringsavverkning</t>
        </is>
      </c>
      <c r="D476" s="1" t="n">
        <v>44622</v>
      </c>
      <c r="E476" s="1" t="n">
        <v>46216</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11932-2024</t>
        </is>
      </c>
      <c r="B477" t="inlineStr">
        <is>
          <t>avverkningsanmälan</t>
        </is>
      </c>
      <c r="C477" t="inlineStr">
        <is>
          <t>Föryngringsavverkning</t>
        </is>
      </c>
      <c r="D477" s="1" t="n">
        <v>45376</v>
      </c>
      <c r="E477" s="1" t="n">
        <v>46216</v>
      </c>
      <c r="F477" t="inlineStr">
        <is>
          <t>VÄSTRA GÖTALANDS LÄN</t>
        </is>
      </c>
      <c r="G477" t="inlineStr">
        <is>
          <t>TRANEMO</t>
        </is>
      </c>
      <c r="I477" t="n">
        <v>4</v>
      </c>
      <c r="J477" t="n">
        <v>0</v>
      </c>
      <c r="K477" t="n">
        <v>0</v>
      </c>
      <c r="L477" t="n">
        <v>0</v>
      </c>
      <c r="M477" t="n">
        <v>0</v>
      </c>
      <c r="N477" t="n">
        <v>0</v>
      </c>
      <c r="O477" t="n">
        <v>0</v>
      </c>
      <c r="P477" t="n">
        <v>0</v>
      </c>
      <c r="Q477" t="n">
        <v>0</v>
      </c>
      <c r="R477" t="n">
        <v>0</v>
      </c>
      <c r="S477" t="n">
        <v>0</v>
      </c>
      <c r="T477" t="n">
        <v>0</v>
      </c>
      <c r="U477" s="2" t="inlineStr"/>
    </row>
    <row r="478" ht="15" customHeight="1">
      <c r="A478" t="inlineStr">
        <is>
          <t>A 29387-2026</t>
        </is>
      </c>
      <c r="B478" t="inlineStr">
        <is>
          <t>avverkningsanmälan</t>
        </is>
      </c>
      <c r="C478" t="inlineStr">
        <is>
          <t>Föryngringsavverkning</t>
        </is>
      </c>
      <c r="D478" s="1" t="n">
        <v>46203</v>
      </c>
      <c r="E478" s="1" t="n">
        <v>46216</v>
      </c>
      <c r="F478" t="inlineStr">
        <is>
          <t>VÄSTRA GÖTALANDS LÄN</t>
        </is>
      </c>
      <c r="G478" t="inlineStr">
        <is>
          <t>TRANEMO</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33380-2024</t>
        </is>
      </c>
      <c r="B479" t="inlineStr">
        <is>
          <t>avverkningsanmälan</t>
        </is>
      </c>
      <c r="C479" t="inlineStr">
        <is>
          <t>Föryngringsavverkning</t>
        </is>
      </c>
      <c r="D479" s="1" t="n">
        <v>45519</v>
      </c>
      <c r="E479" s="1" t="n">
        <v>46216</v>
      </c>
      <c r="F479" t="inlineStr">
        <is>
          <t>VÄSTRA GÖTALANDS LÄN</t>
        </is>
      </c>
      <c r="G479" t="inlineStr">
        <is>
          <t>TRANEMO</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25876-2024</t>
        </is>
      </c>
      <c r="B480" t="inlineStr">
        <is>
          <t>avverkningsanmälan</t>
        </is>
      </c>
      <c r="C480" t="inlineStr">
        <is>
          <t>Föryngringsavverkning</t>
        </is>
      </c>
      <c r="D480" s="1" t="n">
        <v>45467</v>
      </c>
      <c r="E480" s="1" t="n">
        <v>46216</v>
      </c>
      <c r="F480" t="inlineStr">
        <is>
          <t>VÄSTRA GÖTALANDS LÄN</t>
        </is>
      </c>
      <c r="G480" t="inlineStr">
        <is>
          <t>TRANEMO</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44840-2024</t>
        </is>
      </c>
      <c r="B481" t="inlineStr">
        <is>
          <t>avverkningsanmälan</t>
        </is>
      </c>
      <c r="C481" t="inlineStr">
        <is>
          <t>Föryngringsavverkning</t>
        </is>
      </c>
      <c r="D481" s="1" t="n">
        <v>45574</v>
      </c>
      <c r="E481" s="1" t="n">
        <v>46216</v>
      </c>
      <c r="F481" t="inlineStr">
        <is>
          <t>VÄSTRA GÖTALANDS LÄN</t>
        </is>
      </c>
      <c r="G481" t="inlineStr">
        <is>
          <t>TRANEMO</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44871-2024</t>
        </is>
      </c>
      <c r="B482" t="inlineStr">
        <is>
          <t>avverkningsanmälan</t>
        </is>
      </c>
      <c r="C482" t="inlineStr">
        <is>
          <t>Föryngringsavverkning</t>
        </is>
      </c>
      <c r="D482" s="1" t="n">
        <v>45575</v>
      </c>
      <c r="E482" s="1" t="n">
        <v>46216</v>
      </c>
      <c r="F482" t="inlineStr">
        <is>
          <t>VÄSTRA GÖTALANDS LÄN</t>
        </is>
      </c>
      <c r="G482" t="inlineStr">
        <is>
          <t>TRANEMO</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22812-2026</t>
        </is>
      </c>
      <c r="B483" t="inlineStr">
        <is>
          <t>avverkningsanmälan</t>
        </is>
      </c>
      <c r="C483" t="inlineStr">
        <is>
          <t>Föryngringsavverkning</t>
        </is>
      </c>
      <c r="D483" s="1" t="n">
        <v>46160</v>
      </c>
      <c r="E483" s="1" t="n">
        <v>46216</v>
      </c>
      <c r="F483" t="inlineStr">
        <is>
          <t>VÄSTRA GÖTALANDS LÄN</t>
        </is>
      </c>
      <c r="G483" t="inlineStr">
        <is>
          <t>TRANEMO</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22809-2026</t>
        </is>
      </c>
      <c r="B484" t="inlineStr">
        <is>
          <t>avverkningsanmälan</t>
        </is>
      </c>
      <c r="C484" t="inlineStr">
        <is>
          <t>Föryngringsavverkning</t>
        </is>
      </c>
      <c r="D484" s="1" t="n">
        <v>46160</v>
      </c>
      <c r="E484" s="1" t="n">
        <v>46216</v>
      </c>
      <c r="F484" t="inlineStr">
        <is>
          <t>VÄSTRA GÖTALANDS LÄN</t>
        </is>
      </c>
      <c r="G484" t="inlineStr">
        <is>
          <t>TRANEMO</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22810-2026</t>
        </is>
      </c>
      <c r="B485" t="inlineStr">
        <is>
          <t>avverkningsanmälan</t>
        </is>
      </c>
      <c r="C485" t="inlineStr">
        <is>
          <t>Föryngringsavverkning</t>
        </is>
      </c>
      <c r="D485" s="1" t="n">
        <v>46160</v>
      </c>
      <c r="E485" s="1" t="n">
        <v>46216</v>
      </c>
      <c r="F485" t="inlineStr">
        <is>
          <t>VÄSTRA GÖTALANDS LÄN</t>
        </is>
      </c>
      <c r="G485" t="inlineStr">
        <is>
          <t>TRANEMO</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60034-2023</t>
        </is>
      </c>
      <c r="B486" t="inlineStr">
        <is>
          <t>avverkningsanmälan</t>
        </is>
      </c>
      <c r="C486" t="inlineStr">
        <is>
          <t>Föryngringsavverkning</t>
        </is>
      </c>
      <c r="D486" s="1" t="n">
        <v>45258</v>
      </c>
      <c r="E486" s="1" t="n">
        <v>46216</v>
      </c>
      <c r="F486" t="inlineStr">
        <is>
          <t>VÄSTRA GÖTALANDS LÄN</t>
        </is>
      </c>
      <c r="G486" t="inlineStr">
        <is>
          <t>TRANEMO</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27153-2023</t>
        </is>
      </c>
      <c r="B487" t="inlineStr">
        <is>
          <t>avverkningsanmälan</t>
        </is>
      </c>
      <c r="C487" t="inlineStr">
        <is>
          <t>Föryngringsavverkning</t>
        </is>
      </c>
      <c r="D487" s="1" t="n">
        <v>45096</v>
      </c>
      <c r="E487" s="1" t="n">
        <v>46216</v>
      </c>
      <c r="F487" t="inlineStr">
        <is>
          <t>VÄSTRA GÖTALANDS LÄN</t>
        </is>
      </c>
      <c r="G487" t="inlineStr">
        <is>
          <t>TRANEMO</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17297-2023</t>
        </is>
      </c>
      <c r="B488" t="inlineStr">
        <is>
          <t>avverkningsanmälan</t>
        </is>
      </c>
      <c r="C488" t="inlineStr">
        <is>
          <t>Föryngringsavverkning</t>
        </is>
      </c>
      <c r="D488" s="1" t="n">
        <v>45035</v>
      </c>
      <c r="E488" s="1" t="n">
        <v>46216</v>
      </c>
      <c r="F488" t="inlineStr">
        <is>
          <t>VÄSTRA GÖTALANDS LÄN</t>
        </is>
      </c>
      <c r="G488" t="inlineStr">
        <is>
          <t>TRANEMO</t>
        </is>
      </c>
      <c r="I488" t="n">
        <v>2.2</v>
      </c>
      <c r="J488" t="n">
        <v>0</v>
      </c>
      <c r="K488" t="n">
        <v>0</v>
      </c>
      <c r="L488" t="n">
        <v>0</v>
      </c>
      <c r="M488" t="n">
        <v>0</v>
      </c>
      <c r="N488" t="n">
        <v>0</v>
      </c>
      <c r="O488" t="n">
        <v>0</v>
      </c>
      <c r="P488" t="n">
        <v>0</v>
      </c>
      <c r="Q488" t="n">
        <v>0</v>
      </c>
      <c r="R488" t="n">
        <v>0</v>
      </c>
      <c r="S488" t="n">
        <v>0</v>
      </c>
      <c r="T488" t="n">
        <v>0</v>
      </c>
      <c r="U488" s="2" t="inlineStr"/>
    </row>
    <row r="489" ht="15" customHeight="1">
      <c r="A489" t="inlineStr">
        <is>
          <t>A 3655-2022</t>
        </is>
      </c>
      <c r="B489" t="inlineStr">
        <is>
          <t>avverkningsanmälan</t>
        </is>
      </c>
      <c r="C489" t="inlineStr">
        <is>
          <t>Föryngringsavverkning</t>
        </is>
      </c>
      <c r="D489" s="1" t="n">
        <v>44586</v>
      </c>
      <c r="E489" s="1" t="n">
        <v>46216</v>
      </c>
      <c r="F489" t="inlineStr">
        <is>
          <t>VÄSTRA GÖTALANDS LÄN</t>
        </is>
      </c>
      <c r="G489" t="inlineStr">
        <is>
          <t>TRANEMO</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18016-2025</t>
        </is>
      </c>
      <c r="B490" t="inlineStr">
        <is>
          <t>avverkningsanmälan</t>
        </is>
      </c>
      <c r="C490" t="inlineStr">
        <is>
          <t>Föryngringsavverkning</t>
        </is>
      </c>
      <c r="D490" s="1" t="n">
        <v>45761</v>
      </c>
      <c r="E490" s="1" t="n">
        <v>46216</v>
      </c>
      <c r="F490" t="inlineStr">
        <is>
          <t>VÄSTRA GÖTALANDS LÄN</t>
        </is>
      </c>
      <c r="G490" t="inlineStr">
        <is>
          <t>TRANEMO</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25903-2026</t>
        </is>
      </c>
      <c r="B491" t="inlineStr">
        <is>
          <t>avverkningsanmälan</t>
        </is>
      </c>
      <c r="C491" t="inlineStr">
        <is>
          <t>Föryngringsavverkning</t>
        </is>
      </c>
      <c r="D491" s="1" t="n">
        <v>46178</v>
      </c>
      <c r="E491" s="1" t="n">
        <v>46216</v>
      </c>
      <c r="F491" t="inlineStr">
        <is>
          <t>VÄSTRA GÖTALANDS LÄN</t>
        </is>
      </c>
      <c r="G491" t="inlineStr">
        <is>
          <t>TRANEMO</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25902-2026</t>
        </is>
      </c>
      <c r="B492" t="inlineStr">
        <is>
          <t>avverkningsanmälan</t>
        </is>
      </c>
      <c r="C492" t="inlineStr">
        <is>
          <t>Föryngringsavverkning</t>
        </is>
      </c>
      <c r="D492" s="1" t="n">
        <v>46178</v>
      </c>
      <c r="E492" s="1" t="n">
        <v>46216</v>
      </c>
      <c r="F492" t="inlineStr">
        <is>
          <t>VÄSTRA GÖTALANDS LÄN</t>
        </is>
      </c>
      <c r="G492" t="inlineStr">
        <is>
          <t>TRANEMO</t>
        </is>
      </c>
      <c r="I492" t="n">
        <v>6.8</v>
      </c>
      <c r="J492" t="n">
        <v>0</v>
      </c>
      <c r="K492" t="n">
        <v>0</v>
      </c>
      <c r="L492" t="n">
        <v>0</v>
      </c>
      <c r="M492" t="n">
        <v>0</v>
      </c>
      <c r="N492" t="n">
        <v>0</v>
      </c>
      <c r="O492" t="n">
        <v>0</v>
      </c>
      <c r="P492" t="n">
        <v>0</v>
      </c>
      <c r="Q492" t="n">
        <v>0</v>
      </c>
      <c r="R492" t="n">
        <v>0</v>
      </c>
      <c r="S492" t="n">
        <v>0</v>
      </c>
      <c r="T492" t="n">
        <v>0</v>
      </c>
      <c r="U492" s="2" t="inlineStr"/>
    </row>
    <row r="493" ht="15" customHeight="1">
      <c r="A493" t="inlineStr">
        <is>
          <t>A 25402-2023</t>
        </is>
      </c>
      <c r="B493" t="inlineStr">
        <is>
          <t>avverkningsanmälan</t>
        </is>
      </c>
      <c r="C493" t="inlineStr">
        <is>
          <t>Föryngringsavverkning</t>
        </is>
      </c>
      <c r="D493" s="1" t="n">
        <v>45089</v>
      </c>
      <c r="E493" s="1" t="n">
        <v>46216</v>
      </c>
      <c r="F493" t="inlineStr">
        <is>
          <t>VÄSTRA GÖTALANDS LÄN</t>
        </is>
      </c>
      <c r="G493" t="inlineStr">
        <is>
          <t>TRANEMO</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16526-2025</t>
        </is>
      </c>
      <c r="B494" t="inlineStr">
        <is>
          <t>avverkningsanmälan</t>
        </is>
      </c>
      <c r="C494" t="inlineStr">
        <is>
          <t>Föryngringsavverkning</t>
        </is>
      </c>
      <c r="D494" s="1" t="n">
        <v>45751</v>
      </c>
      <c r="E494" s="1" t="n">
        <v>46216</v>
      </c>
      <c r="F494" t="inlineStr">
        <is>
          <t>VÄSTRA GÖTALANDS LÄN</t>
        </is>
      </c>
      <c r="G494" t="inlineStr">
        <is>
          <t>TRANEMO</t>
        </is>
      </c>
      <c r="H494" t="inlineStr">
        <is>
          <t>Sveaskog</t>
        </is>
      </c>
      <c r="I494" t="n">
        <v>3</v>
      </c>
      <c r="J494" t="n">
        <v>0</v>
      </c>
      <c r="K494" t="n">
        <v>0</v>
      </c>
      <c r="L494" t="n">
        <v>0</v>
      </c>
      <c r="M494" t="n">
        <v>0</v>
      </c>
      <c r="N494" t="n">
        <v>0</v>
      </c>
      <c r="O494" t="n">
        <v>0</v>
      </c>
      <c r="P494" t="n">
        <v>0</v>
      </c>
      <c r="Q494" t="n">
        <v>0</v>
      </c>
      <c r="R494" t="n">
        <v>0</v>
      </c>
      <c r="S494" t="n">
        <v>0</v>
      </c>
      <c r="T494" t="n">
        <v>0</v>
      </c>
      <c r="U494" s="2" t="inlineStr"/>
    </row>
    <row r="495" ht="15" customHeight="1">
      <c r="A495" t="inlineStr">
        <is>
          <t>A 16528-2025</t>
        </is>
      </c>
      <c r="B495" t="inlineStr">
        <is>
          <t>avverkningsanmälan</t>
        </is>
      </c>
      <c r="C495" t="inlineStr">
        <is>
          <t>Föryngringsavverkning</t>
        </is>
      </c>
      <c r="D495" s="1" t="n">
        <v>45751</v>
      </c>
      <c r="E495" s="1" t="n">
        <v>46216</v>
      </c>
      <c r="F495" t="inlineStr">
        <is>
          <t>VÄSTRA GÖTALANDS LÄN</t>
        </is>
      </c>
      <c r="G495" t="inlineStr">
        <is>
          <t>TRANEMO</t>
        </is>
      </c>
      <c r="H495" t="inlineStr">
        <is>
          <t>Sveaskog</t>
        </is>
      </c>
      <c r="I495" t="n">
        <v>2.4</v>
      </c>
      <c r="J495" t="n">
        <v>0</v>
      </c>
      <c r="K495" t="n">
        <v>0</v>
      </c>
      <c r="L495" t="n">
        <v>0</v>
      </c>
      <c r="M495" t="n">
        <v>0</v>
      </c>
      <c r="N495" t="n">
        <v>0</v>
      </c>
      <c r="O495" t="n">
        <v>0</v>
      </c>
      <c r="P495" t="n">
        <v>0</v>
      </c>
      <c r="Q495" t="n">
        <v>0</v>
      </c>
      <c r="R495" t="n">
        <v>0</v>
      </c>
      <c r="S495" t="n">
        <v>0</v>
      </c>
      <c r="T495" t="n">
        <v>0</v>
      </c>
      <c r="U495" s="2" t="inlineStr"/>
    </row>
    <row r="496" ht="15" customHeight="1">
      <c r="A496" t="inlineStr">
        <is>
          <t>A 56031-2024</t>
        </is>
      </c>
      <c r="B496" t="inlineStr">
        <is>
          <t>avverkningsanmälan</t>
        </is>
      </c>
      <c r="C496" t="inlineStr">
        <is>
          <t>Föryngringsavverkning</t>
        </is>
      </c>
      <c r="D496" s="1" t="n">
        <v>45624</v>
      </c>
      <c r="E496" s="1" t="n">
        <v>46216</v>
      </c>
      <c r="F496" t="inlineStr">
        <is>
          <t>VÄSTRA GÖTALANDS LÄN</t>
        </is>
      </c>
      <c r="G496" t="inlineStr">
        <is>
          <t>TRANEMO</t>
        </is>
      </c>
      <c r="I496" t="n">
        <v>5.1</v>
      </c>
      <c r="J496" t="n">
        <v>0</v>
      </c>
      <c r="K496" t="n">
        <v>0</v>
      </c>
      <c r="L496" t="n">
        <v>0</v>
      </c>
      <c r="M496" t="n">
        <v>0</v>
      </c>
      <c r="N496" t="n">
        <v>0</v>
      </c>
      <c r="O496" t="n">
        <v>0</v>
      </c>
      <c r="P496" t="n">
        <v>0</v>
      </c>
      <c r="Q496" t="n">
        <v>0</v>
      </c>
      <c r="R496" t="n">
        <v>0</v>
      </c>
      <c r="S496" t="n">
        <v>0</v>
      </c>
      <c r="T496" t="n">
        <v>0</v>
      </c>
      <c r="U496" s="2" t="inlineStr"/>
    </row>
    <row r="497" ht="15" customHeight="1">
      <c r="A497" t="inlineStr">
        <is>
          <t>A 7001-2025</t>
        </is>
      </c>
      <c r="B497" t="inlineStr">
        <is>
          <t>avverkningsanmälan</t>
        </is>
      </c>
      <c r="C497" t="inlineStr">
        <is>
          <t>Föryngringsavverkning</t>
        </is>
      </c>
      <c r="D497" s="1" t="n">
        <v>45701</v>
      </c>
      <c r="E497" s="1" t="n">
        <v>46216</v>
      </c>
      <c r="F497" t="inlineStr">
        <is>
          <t>VÄSTRA GÖTALANDS LÄN</t>
        </is>
      </c>
      <c r="G497" t="inlineStr">
        <is>
          <t>TRANEMO</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14424-2024</t>
        </is>
      </c>
      <c r="B498" t="inlineStr">
        <is>
          <t>avverkningsanmälan</t>
        </is>
      </c>
      <c r="C498" t="inlineStr">
        <is>
          <t>Föryngringsavverkning</t>
        </is>
      </c>
      <c r="D498" s="1" t="n">
        <v>45394</v>
      </c>
      <c r="E498" s="1" t="n">
        <v>46216</v>
      </c>
      <c r="F498" t="inlineStr">
        <is>
          <t>VÄSTRA GÖTALANDS LÄN</t>
        </is>
      </c>
      <c r="G498" t="inlineStr">
        <is>
          <t>TRANEMO</t>
        </is>
      </c>
      <c r="I498" t="n">
        <v>13.9</v>
      </c>
      <c r="J498" t="n">
        <v>0</v>
      </c>
      <c r="K498" t="n">
        <v>0</v>
      </c>
      <c r="L498" t="n">
        <v>0</v>
      </c>
      <c r="M498" t="n">
        <v>0</v>
      </c>
      <c r="N498" t="n">
        <v>0</v>
      </c>
      <c r="O498" t="n">
        <v>0</v>
      </c>
      <c r="P498" t="n">
        <v>0</v>
      </c>
      <c r="Q498" t="n">
        <v>0</v>
      </c>
      <c r="R498" t="n">
        <v>0</v>
      </c>
      <c r="S498" t="n">
        <v>0</v>
      </c>
      <c r="T498" t="n">
        <v>0</v>
      </c>
      <c r="U498" s="2" t="inlineStr"/>
    </row>
    <row r="499" ht="15" customHeight="1">
      <c r="A499" t="inlineStr">
        <is>
          <t>A 49160-2024</t>
        </is>
      </c>
      <c r="B499" t="inlineStr">
        <is>
          <t>avverkningsanmälan</t>
        </is>
      </c>
      <c r="C499" t="inlineStr">
        <is>
          <t>Föryngringsavverkning</t>
        </is>
      </c>
      <c r="D499" s="1" t="n">
        <v>45594</v>
      </c>
      <c r="E499" s="1" t="n">
        <v>46216</v>
      </c>
      <c r="F499" t="inlineStr">
        <is>
          <t>VÄSTRA GÖTALANDS LÄN</t>
        </is>
      </c>
      <c r="G499" t="inlineStr">
        <is>
          <t>TRANEMO</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22362-2023</t>
        </is>
      </c>
      <c r="B500" t="inlineStr">
        <is>
          <t>avverkningsanmälan</t>
        </is>
      </c>
      <c r="C500" t="inlineStr">
        <is>
          <t>Föryngringsavverkning</t>
        </is>
      </c>
      <c r="D500" s="1" t="n">
        <v>45070</v>
      </c>
      <c r="E500" s="1" t="n">
        <v>46216</v>
      </c>
      <c r="F500" t="inlineStr">
        <is>
          <t>VÄSTRA GÖTALANDS LÄN</t>
        </is>
      </c>
      <c r="G500" t="inlineStr">
        <is>
          <t>TRANEMO</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2325-2024</t>
        </is>
      </c>
      <c r="B501" t="inlineStr">
        <is>
          <t>avverkningsanmälan</t>
        </is>
      </c>
      <c r="C501" t="inlineStr">
        <is>
          <t>Föryngringsavverkning</t>
        </is>
      </c>
      <c r="D501" s="1" t="n">
        <v>45310</v>
      </c>
      <c r="E501" s="1" t="n">
        <v>46216</v>
      </c>
      <c r="F501" t="inlineStr">
        <is>
          <t>VÄSTRA GÖTALANDS LÄN</t>
        </is>
      </c>
      <c r="G501" t="inlineStr">
        <is>
          <t>TRANEMO</t>
        </is>
      </c>
      <c r="H501" t="inlineStr">
        <is>
          <t>Kommuner</t>
        </is>
      </c>
      <c r="I501" t="n">
        <v>3.8</v>
      </c>
      <c r="J501" t="n">
        <v>0</v>
      </c>
      <c r="K501" t="n">
        <v>0</v>
      </c>
      <c r="L501" t="n">
        <v>0</v>
      </c>
      <c r="M501" t="n">
        <v>0</v>
      </c>
      <c r="N501" t="n">
        <v>0</v>
      </c>
      <c r="O501" t="n">
        <v>0</v>
      </c>
      <c r="P501" t="n">
        <v>0</v>
      </c>
      <c r="Q501" t="n">
        <v>0</v>
      </c>
      <c r="R501" t="n">
        <v>0</v>
      </c>
      <c r="S501" t="n">
        <v>0</v>
      </c>
      <c r="T501" t="n">
        <v>0</v>
      </c>
      <c r="U501" s="2" t="inlineStr"/>
    </row>
    <row r="502" ht="15" customHeight="1">
      <c r="A502" t="inlineStr">
        <is>
          <t>A 22662-2025</t>
        </is>
      </c>
      <c r="B502" t="inlineStr">
        <is>
          <t>avverkningsanmälan</t>
        </is>
      </c>
      <c r="C502" t="inlineStr">
        <is>
          <t>Föryngringsavverkning</t>
        </is>
      </c>
      <c r="D502" s="1" t="n">
        <v>45789</v>
      </c>
      <c r="E502" s="1" t="n">
        <v>46216</v>
      </c>
      <c r="F502" t="inlineStr">
        <is>
          <t>VÄSTRA GÖTALANDS LÄN</t>
        </is>
      </c>
      <c r="G502" t="inlineStr">
        <is>
          <t>TRANEMO</t>
        </is>
      </c>
      <c r="I502" t="n">
        <v>2.3</v>
      </c>
      <c r="J502" t="n">
        <v>0</v>
      </c>
      <c r="K502" t="n">
        <v>0</v>
      </c>
      <c r="L502" t="n">
        <v>0</v>
      </c>
      <c r="M502" t="n">
        <v>0</v>
      </c>
      <c r="N502" t="n">
        <v>0</v>
      </c>
      <c r="O502" t="n">
        <v>0</v>
      </c>
      <c r="P502" t="n">
        <v>0</v>
      </c>
      <c r="Q502" t="n">
        <v>0</v>
      </c>
      <c r="R502" t="n">
        <v>0</v>
      </c>
      <c r="S502" t="n">
        <v>0</v>
      </c>
      <c r="T502" t="n">
        <v>0</v>
      </c>
      <c r="U502" s="2" t="inlineStr"/>
    </row>
    <row r="503" ht="15" customHeight="1">
      <c r="A503" t="inlineStr">
        <is>
          <t>A 1037-2024</t>
        </is>
      </c>
      <c r="B503" t="inlineStr">
        <is>
          <t>avverkningsanmälan</t>
        </is>
      </c>
      <c r="C503" t="inlineStr">
        <is>
          <t>Föryngringsavverkning</t>
        </is>
      </c>
      <c r="D503" s="1" t="n">
        <v>45301</v>
      </c>
      <c r="E503" s="1" t="n">
        <v>46216</v>
      </c>
      <c r="F503" t="inlineStr">
        <is>
          <t>VÄSTRA GÖTALANDS LÄN</t>
        </is>
      </c>
      <c r="G503" t="inlineStr">
        <is>
          <t>TRANEMO</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49322-2024</t>
        </is>
      </c>
      <c r="B504" t="inlineStr">
        <is>
          <t>avverkningsanmälan</t>
        </is>
      </c>
      <c r="C504" t="inlineStr">
        <is>
          <t>Föryngringsavverkning</t>
        </is>
      </c>
      <c r="D504" s="1" t="n">
        <v>45595</v>
      </c>
      <c r="E504" s="1" t="n">
        <v>46216</v>
      </c>
      <c r="F504" t="inlineStr">
        <is>
          <t>VÄSTRA GÖTALANDS LÄN</t>
        </is>
      </c>
      <c r="G504" t="inlineStr">
        <is>
          <t>TRANEMO</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14420-2024</t>
        </is>
      </c>
      <c r="B505" t="inlineStr">
        <is>
          <t>avverkningsanmälan</t>
        </is>
      </c>
      <c r="C505" t="inlineStr">
        <is>
          <t>Föryngringsavverkning</t>
        </is>
      </c>
      <c r="D505" s="1" t="n">
        <v>45394</v>
      </c>
      <c r="E505" s="1" t="n">
        <v>46216</v>
      </c>
      <c r="F505" t="inlineStr">
        <is>
          <t>VÄSTRA GÖTALANDS LÄN</t>
        </is>
      </c>
      <c r="G505" t="inlineStr">
        <is>
          <t>TRANEMO</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37854-2024</t>
        </is>
      </c>
      <c r="B506" t="inlineStr">
        <is>
          <t>avverkningsanmälan</t>
        </is>
      </c>
      <c r="C506" t="inlineStr">
        <is>
          <t>Föryngringsavverkning</t>
        </is>
      </c>
      <c r="D506" s="1" t="n">
        <v>45544</v>
      </c>
      <c r="E506" s="1" t="n">
        <v>46216</v>
      </c>
      <c r="F506" t="inlineStr">
        <is>
          <t>VÄSTRA GÖTALANDS LÄN</t>
        </is>
      </c>
      <c r="G506" t="inlineStr">
        <is>
          <t>TRANEMO</t>
        </is>
      </c>
      <c r="H506" t="inlineStr">
        <is>
          <t>Kyrkan</t>
        </is>
      </c>
      <c r="I506" t="n">
        <v>2.6</v>
      </c>
      <c r="J506" t="n">
        <v>0</v>
      </c>
      <c r="K506" t="n">
        <v>0</v>
      </c>
      <c r="L506" t="n">
        <v>0</v>
      </c>
      <c r="M506" t="n">
        <v>0</v>
      </c>
      <c r="N506" t="n">
        <v>0</v>
      </c>
      <c r="O506" t="n">
        <v>0</v>
      </c>
      <c r="P506" t="n">
        <v>0</v>
      </c>
      <c r="Q506" t="n">
        <v>0</v>
      </c>
      <c r="R506" t="n">
        <v>0</v>
      </c>
      <c r="S506" t="n">
        <v>0</v>
      </c>
      <c r="T506" t="n">
        <v>0</v>
      </c>
      <c r="U506" s="2" t="inlineStr"/>
    </row>
    <row r="507" ht="15" customHeight="1">
      <c r="A507" t="inlineStr">
        <is>
          <t>A 18878-2023</t>
        </is>
      </c>
      <c r="B507" t="inlineStr">
        <is>
          <t>avverkningsanmälan</t>
        </is>
      </c>
      <c r="C507" t="inlineStr">
        <is>
          <t>Föryngringsavverkning</t>
        </is>
      </c>
      <c r="D507" s="1" t="n">
        <v>45044</v>
      </c>
      <c r="E507" s="1" t="n">
        <v>46216</v>
      </c>
      <c r="F507" t="inlineStr">
        <is>
          <t>VÄSTRA GÖTALANDS LÄN</t>
        </is>
      </c>
      <c r="G507" t="inlineStr">
        <is>
          <t>TRANEMO</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20082-2025</t>
        </is>
      </c>
      <c r="B508" t="inlineStr">
        <is>
          <t>avverkningsanmälan</t>
        </is>
      </c>
      <c r="C508" t="inlineStr">
        <is>
          <t>Avverkning för att bevara och utveckla /försöksver</t>
        </is>
      </c>
      <c r="D508" s="1" t="n">
        <v>45772</v>
      </c>
      <c r="E508" s="1" t="n">
        <v>46216</v>
      </c>
      <c r="F508" t="inlineStr">
        <is>
          <t>VÄSTRA GÖTALANDS LÄN</t>
        </is>
      </c>
      <c r="G508" t="inlineStr">
        <is>
          <t>TRANEMO</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27470-2024</t>
        </is>
      </c>
      <c r="B509" t="inlineStr">
        <is>
          <t>avverkningsanmälan</t>
        </is>
      </c>
      <c r="C509" t="inlineStr">
        <is>
          <t>Föryngringsavverkning</t>
        </is>
      </c>
      <c r="D509" s="1" t="n">
        <v>45474</v>
      </c>
      <c r="E509" s="1" t="n">
        <v>46216</v>
      </c>
      <c r="F509" t="inlineStr">
        <is>
          <t>VÄSTRA GÖTALANDS LÄN</t>
        </is>
      </c>
      <c r="G509" t="inlineStr">
        <is>
          <t>TRANEMO</t>
        </is>
      </c>
      <c r="I509" t="n">
        <v>8.199999999999999</v>
      </c>
      <c r="J509" t="n">
        <v>0</v>
      </c>
      <c r="K509" t="n">
        <v>0</v>
      </c>
      <c r="L509" t="n">
        <v>0</v>
      </c>
      <c r="M509" t="n">
        <v>0</v>
      </c>
      <c r="N509" t="n">
        <v>0</v>
      </c>
      <c r="O509" t="n">
        <v>0</v>
      </c>
      <c r="P509" t="n">
        <v>0</v>
      </c>
      <c r="Q509" t="n">
        <v>0</v>
      </c>
      <c r="R509" t="n">
        <v>0</v>
      </c>
      <c r="S509" t="n">
        <v>0</v>
      </c>
      <c r="T509" t="n">
        <v>0</v>
      </c>
      <c r="U509" s="2" t="inlineStr"/>
    </row>
    <row r="510" ht="15" customHeight="1">
      <c r="A510" t="inlineStr">
        <is>
          <t>A 44133-2021</t>
        </is>
      </c>
      <c r="B510" t="inlineStr">
        <is>
          <t>avverkningsanmälan</t>
        </is>
      </c>
      <c r="C510" t="inlineStr">
        <is>
          <t>Föryngringsavverkning</t>
        </is>
      </c>
      <c r="D510" s="1" t="n">
        <v>44434</v>
      </c>
      <c r="E510" s="1" t="n">
        <v>46216</v>
      </c>
      <c r="F510" t="inlineStr">
        <is>
          <t>VÄSTRA GÖTALANDS LÄN</t>
        </is>
      </c>
      <c r="G510" t="inlineStr">
        <is>
          <t>TRANEMO</t>
        </is>
      </c>
      <c r="I510" t="n">
        <v>1.2</v>
      </c>
      <c r="J510" t="n">
        <v>0</v>
      </c>
      <c r="K510" t="n">
        <v>0</v>
      </c>
      <c r="L510" t="n">
        <v>0</v>
      </c>
      <c r="M510" t="n">
        <v>0</v>
      </c>
      <c r="N510" t="n">
        <v>0</v>
      </c>
      <c r="O510" t="n">
        <v>0</v>
      </c>
      <c r="P510" t="n">
        <v>0</v>
      </c>
      <c r="Q510" t="n">
        <v>0</v>
      </c>
      <c r="R510" t="n">
        <v>0</v>
      </c>
      <c r="S510" t="n">
        <v>0</v>
      </c>
      <c r="T510" t="n">
        <v>0</v>
      </c>
      <c r="U510" s="2" t="inlineStr"/>
    </row>
    <row r="511" ht="15" customHeight="1">
      <c r="A511" t="inlineStr">
        <is>
          <t>A 15336-2025</t>
        </is>
      </c>
      <c r="B511" t="inlineStr">
        <is>
          <t>avverkningsanmälan</t>
        </is>
      </c>
      <c r="C511" t="inlineStr">
        <is>
          <t>Föryngringsavverkning</t>
        </is>
      </c>
      <c r="D511" s="1" t="n">
        <v>45747</v>
      </c>
      <c r="E511" s="1" t="n">
        <v>46216</v>
      </c>
      <c r="F511" t="inlineStr">
        <is>
          <t>VÄSTRA GÖTALANDS LÄN</t>
        </is>
      </c>
      <c r="G511" t="inlineStr">
        <is>
          <t>TRANEMO</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15367-2025</t>
        </is>
      </c>
      <c r="B512" t="inlineStr">
        <is>
          <t>avverkningsanmälan</t>
        </is>
      </c>
      <c r="C512" t="inlineStr">
        <is>
          <t>Föryngringsavverkning</t>
        </is>
      </c>
      <c r="D512" s="1" t="n">
        <v>45747</v>
      </c>
      <c r="E512" s="1" t="n">
        <v>46216</v>
      </c>
      <c r="F512" t="inlineStr">
        <is>
          <t>VÄSTRA GÖTALANDS LÄN</t>
        </is>
      </c>
      <c r="G512" t="inlineStr">
        <is>
          <t>TRANEMO</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15370-2025</t>
        </is>
      </c>
      <c r="B513" t="inlineStr">
        <is>
          <t>avverkningsanmälan</t>
        </is>
      </c>
      <c r="C513" t="inlineStr">
        <is>
          <t>Föryngringsavverkning</t>
        </is>
      </c>
      <c r="D513" s="1" t="n">
        <v>45747</v>
      </c>
      <c r="E513" s="1" t="n">
        <v>46216</v>
      </c>
      <c r="F513" t="inlineStr">
        <is>
          <t>VÄSTRA GÖTALANDS LÄN</t>
        </is>
      </c>
      <c r="G513" t="inlineStr">
        <is>
          <t>TRANEMO</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12413-2026</t>
        </is>
      </c>
      <c r="B514" t="inlineStr">
        <is>
          <t>avverkningsanmälan</t>
        </is>
      </c>
      <c r="C514" t="inlineStr">
        <is>
          <t>Avverkning för att bevara och utveckla /försöksver</t>
        </is>
      </c>
      <c r="D514" s="1" t="n">
        <v>46090</v>
      </c>
      <c r="E514" s="1" t="n">
        <v>46216</v>
      </c>
      <c r="F514" t="inlineStr">
        <is>
          <t>VÄSTRA GÖTALANDS LÄN</t>
        </is>
      </c>
      <c r="G514" t="inlineStr">
        <is>
          <t>TRANEMO</t>
        </is>
      </c>
      <c r="I514" t="n">
        <v>0.2</v>
      </c>
      <c r="J514" t="n">
        <v>0</v>
      </c>
      <c r="K514" t="n">
        <v>0</v>
      </c>
      <c r="L514" t="n">
        <v>0</v>
      </c>
      <c r="M514" t="n">
        <v>0</v>
      </c>
      <c r="N514" t="n">
        <v>0</v>
      </c>
      <c r="O514" t="n">
        <v>0</v>
      </c>
      <c r="P514" t="n">
        <v>0</v>
      </c>
      <c r="Q514" t="n">
        <v>0</v>
      </c>
      <c r="R514" t="n">
        <v>0</v>
      </c>
      <c r="S514" t="n">
        <v>0</v>
      </c>
      <c r="T514" t="n">
        <v>0</v>
      </c>
      <c r="U514" s="2" t="inlineStr"/>
    </row>
    <row r="515" ht="15" customHeight="1">
      <c r="A515" t="inlineStr">
        <is>
          <t>A 42560-2022</t>
        </is>
      </c>
      <c r="B515" t="inlineStr">
        <is>
          <t>avverkningsanmälan</t>
        </is>
      </c>
      <c r="C515" t="inlineStr">
        <is>
          <t>Föryngringsavverkning</t>
        </is>
      </c>
      <c r="D515" s="1" t="n">
        <v>44831</v>
      </c>
      <c r="E515" s="1" t="n">
        <v>46216</v>
      </c>
      <c r="F515" t="inlineStr">
        <is>
          <t>VÄSTRA GÖTALANDS LÄN</t>
        </is>
      </c>
      <c r="G515" t="inlineStr">
        <is>
          <t>TRANEMO</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42574-2022</t>
        </is>
      </c>
      <c r="B516" t="inlineStr">
        <is>
          <t>avverkningsanmälan</t>
        </is>
      </c>
      <c r="C516" t="inlineStr">
        <is>
          <t>Föryngringsavverkning</t>
        </is>
      </c>
      <c r="D516" s="1" t="n">
        <v>44831</v>
      </c>
      <c r="E516" s="1" t="n">
        <v>46216</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3293-2024</t>
        </is>
      </c>
      <c r="B517" t="inlineStr">
        <is>
          <t>avverkningsanmälan</t>
        </is>
      </c>
      <c r="C517" t="inlineStr">
        <is>
          <t>Föryngringsavverkning</t>
        </is>
      </c>
      <c r="D517" s="1" t="n">
        <v>45317</v>
      </c>
      <c r="E517" s="1" t="n">
        <v>46216</v>
      </c>
      <c r="F517" t="inlineStr">
        <is>
          <t>VÄSTRA GÖTALANDS LÄN</t>
        </is>
      </c>
      <c r="G517" t="inlineStr">
        <is>
          <t>TRANEMO</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23061-2023</t>
        </is>
      </c>
      <c r="B518" t="inlineStr">
        <is>
          <t>avverkningsanmälan</t>
        </is>
      </c>
      <c r="C518" t="inlineStr">
        <is>
          <t>Föryngringsavverkning</t>
        </is>
      </c>
      <c r="D518" s="1" t="n">
        <v>45075</v>
      </c>
      <c r="E518" s="1" t="n">
        <v>46216</v>
      </c>
      <c r="F518" t="inlineStr">
        <is>
          <t>VÄSTRA GÖTALANDS LÄN</t>
        </is>
      </c>
      <c r="G518" t="inlineStr">
        <is>
          <t>TRANEMO</t>
        </is>
      </c>
      <c r="I518" t="n">
        <v>3.7</v>
      </c>
      <c r="J518" t="n">
        <v>0</v>
      </c>
      <c r="K518" t="n">
        <v>0</v>
      </c>
      <c r="L518" t="n">
        <v>0</v>
      </c>
      <c r="M518" t="n">
        <v>0</v>
      </c>
      <c r="N518" t="n">
        <v>0</v>
      </c>
      <c r="O518" t="n">
        <v>0</v>
      </c>
      <c r="P518" t="n">
        <v>0</v>
      </c>
      <c r="Q518" t="n">
        <v>0</v>
      </c>
      <c r="R518" t="n">
        <v>0</v>
      </c>
      <c r="S518" t="n">
        <v>0</v>
      </c>
      <c r="T518" t="n">
        <v>0</v>
      </c>
      <c r="U518" s="2" t="inlineStr"/>
    </row>
    <row r="519" ht="15" customHeight="1">
      <c r="A519" t="inlineStr">
        <is>
          <t>A 54508-2022</t>
        </is>
      </c>
      <c r="B519" t="inlineStr">
        <is>
          <t>avverkningsanmälan</t>
        </is>
      </c>
      <c r="C519" t="inlineStr">
        <is>
          <t>Föryngringsavverkning</t>
        </is>
      </c>
      <c r="D519" s="1" t="n">
        <v>44882</v>
      </c>
      <c r="E519" s="1" t="n">
        <v>46216</v>
      </c>
      <c r="F519" t="inlineStr">
        <is>
          <t>VÄSTRA GÖTALANDS LÄN</t>
        </is>
      </c>
      <c r="G519" t="inlineStr">
        <is>
          <t>TRANEMO</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23183-2023</t>
        </is>
      </c>
      <c r="B520" t="inlineStr">
        <is>
          <t>avverkningsanmälan</t>
        </is>
      </c>
      <c r="C520" t="inlineStr">
        <is>
          <t>Föryngringsavverkning</t>
        </is>
      </c>
      <c r="D520" s="1" t="n">
        <v>45075</v>
      </c>
      <c r="E520" s="1" t="n">
        <v>46216</v>
      </c>
      <c r="F520" t="inlineStr">
        <is>
          <t>VÄSTRA GÖTALANDS LÄN</t>
        </is>
      </c>
      <c r="G520" t="inlineStr">
        <is>
          <t>TRANEMO</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56458-2024</t>
        </is>
      </c>
      <c r="B521" t="inlineStr">
        <is>
          <t>avverkningsanmälan</t>
        </is>
      </c>
      <c r="C521" t="inlineStr">
        <is>
          <t>Föryngringsavverkning</t>
        </is>
      </c>
      <c r="D521" s="1" t="n">
        <v>45625</v>
      </c>
      <c r="E521" s="1" t="n">
        <v>46216</v>
      </c>
      <c r="F521" t="inlineStr">
        <is>
          <t>VÄSTRA GÖTALANDS LÄN</t>
        </is>
      </c>
      <c r="G521" t="inlineStr">
        <is>
          <t>TRANEMO</t>
        </is>
      </c>
      <c r="I521" t="n">
        <v>3.4</v>
      </c>
      <c r="J521" t="n">
        <v>0</v>
      </c>
      <c r="K521" t="n">
        <v>0</v>
      </c>
      <c r="L521" t="n">
        <v>0</v>
      </c>
      <c r="M521" t="n">
        <v>0</v>
      </c>
      <c r="N521" t="n">
        <v>0</v>
      </c>
      <c r="O521" t="n">
        <v>0</v>
      </c>
      <c r="P521" t="n">
        <v>0</v>
      </c>
      <c r="Q521" t="n">
        <v>0</v>
      </c>
      <c r="R521" t="n">
        <v>0</v>
      </c>
      <c r="S521" t="n">
        <v>0</v>
      </c>
      <c r="T521" t="n">
        <v>0</v>
      </c>
      <c r="U521" s="2" t="inlineStr"/>
    </row>
    <row r="522" ht="15" customHeight="1">
      <c r="A522" t="inlineStr">
        <is>
          <t>A 22384-2023</t>
        </is>
      </c>
      <c r="B522" t="inlineStr">
        <is>
          <t>avverkningsanmälan</t>
        </is>
      </c>
      <c r="C522" t="inlineStr">
        <is>
          <t>Föryngringsavverkning</t>
        </is>
      </c>
      <c r="D522" s="1" t="n">
        <v>45070</v>
      </c>
      <c r="E522" s="1" t="n">
        <v>46216</v>
      </c>
      <c r="F522" t="inlineStr">
        <is>
          <t>VÄSTRA GÖTALANDS LÄN</t>
        </is>
      </c>
      <c r="G522" t="inlineStr">
        <is>
          <t>TRANEMO</t>
        </is>
      </c>
      <c r="I522" t="n">
        <v>3.9</v>
      </c>
      <c r="J522" t="n">
        <v>0</v>
      </c>
      <c r="K522" t="n">
        <v>0</v>
      </c>
      <c r="L522" t="n">
        <v>0</v>
      </c>
      <c r="M522" t="n">
        <v>0</v>
      </c>
      <c r="N522" t="n">
        <v>0</v>
      </c>
      <c r="O522" t="n">
        <v>0</v>
      </c>
      <c r="P522" t="n">
        <v>0</v>
      </c>
      <c r="Q522" t="n">
        <v>0</v>
      </c>
      <c r="R522" t="n">
        <v>0</v>
      </c>
      <c r="S522" t="n">
        <v>0</v>
      </c>
      <c r="T522" t="n">
        <v>0</v>
      </c>
      <c r="U522" s="2" t="inlineStr"/>
    </row>
    <row r="523" ht="15" customHeight="1">
      <c r="A523" t="inlineStr">
        <is>
          <t>A 72868-2021</t>
        </is>
      </c>
      <c r="B523" t="inlineStr">
        <is>
          <t>avverkningsanmälan</t>
        </is>
      </c>
      <c r="C523" t="inlineStr">
        <is>
          <t>Föryngringsavverkning</t>
        </is>
      </c>
      <c r="D523" s="1" t="n">
        <v>44547</v>
      </c>
      <c r="E523" s="1" t="n">
        <v>46216</v>
      </c>
      <c r="F523" t="inlineStr">
        <is>
          <t>VÄSTRA GÖTALANDS LÄN</t>
        </is>
      </c>
      <c r="G523" t="inlineStr">
        <is>
          <t>TRANEMO</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60467-2023</t>
        </is>
      </c>
      <c r="B524" t="inlineStr">
        <is>
          <t>avverkningsanmälan</t>
        </is>
      </c>
      <c r="C524" t="inlineStr">
        <is>
          <t>Föryngringsavverkning</t>
        </is>
      </c>
      <c r="D524" s="1" t="n">
        <v>45259</v>
      </c>
      <c r="E524" s="1" t="n">
        <v>46216</v>
      </c>
      <c r="F524" t="inlineStr">
        <is>
          <t>VÄSTRA GÖTALANDS LÄN</t>
        </is>
      </c>
      <c r="G524" t="inlineStr">
        <is>
          <t>TRANEMO</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52596-2024</t>
        </is>
      </c>
      <c r="B525" t="inlineStr">
        <is>
          <t>avverkningsanmälan</t>
        </is>
      </c>
      <c r="C525" t="inlineStr">
        <is>
          <t>Föryngringsavverkning</t>
        </is>
      </c>
      <c r="D525" s="1" t="n">
        <v>45609</v>
      </c>
      <c r="E525" s="1" t="n">
        <v>46216</v>
      </c>
      <c r="F525" t="inlineStr">
        <is>
          <t>VÄSTRA GÖTALANDS LÄN</t>
        </is>
      </c>
      <c r="G525" t="inlineStr">
        <is>
          <t>TRANEMO</t>
        </is>
      </c>
      <c r="I525" t="n">
        <v>4</v>
      </c>
      <c r="J525" t="n">
        <v>0</v>
      </c>
      <c r="K525" t="n">
        <v>0</v>
      </c>
      <c r="L525" t="n">
        <v>0</v>
      </c>
      <c r="M525" t="n">
        <v>0</v>
      </c>
      <c r="N525" t="n">
        <v>0</v>
      </c>
      <c r="O525" t="n">
        <v>0</v>
      </c>
      <c r="P525" t="n">
        <v>0</v>
      </c>
      <c r="Q525" t="n">
        <v>0</v>
      </c>
      <c r="R525" t="n">
        <v>0</v>
      </c>
      <c r="S525" t="n">
        <v>0</v>
      </c>
      <c r="T525" t="n">
        <v>0</v>
      </c>
      <c r="U525" s="2" t="inlineStr"/>
    </row>
    <row r="526" ht="15" customHeight="1">
      <c r="A526" t="inlineStr">
        <is>
          <t>A 3960-2022</t>
        </is>
      </c>
      <c r="B526" t="inlineStr">
        <is>
          <t>avverkningsanmälan</t>
        </is>
      </c>
      <c r="C526" t="inlineStr">
        <is>
          <t>Föryngringsavverkning</t>
        </is>
      </c>
      <c r="D526" s="1" t="n">
        <v>44587</v>
      </c>
      <c r="E526" s="1" t="n">
        <v>46216</v>
      </c>
      <c r="F526" t="inlineStr">
        <is>
          <t>VÄSTRA GÖTALANDS LÄN</t>
        </is>
      </c>
      <c r="G526" t="inlineStr">
        <is>
          <t>TRANEMO</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31018-2026</t>
        </is>
      </c>
      <c r="B527" t="inlineStr">
        <is>
          <t>avverkningsanmälan</t>
        </is>
      </c>
      <c r="C527" t="inlineStr">
        <is>
          <t>Föryngringsavverkning</t>
        </is>
      </c>
      <c r="D527" s="1" t="n">
        <v>46213</v>
      </c>
      <c r="E527" s="1" t="n">
        <v>46216</v>
      </c>
      <c r="F527" t="inlineStr">
        <is>
          <t>VÄSTRA GÖTALANDS LÄN</t>
        </is>
      </c>
      <c r="G527" t="inlineStr">
        <is>
          <t>TRANEMO</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2610-2024</t>
        </is>
      </c>
      <c r="B528" t="inlineStr">
        <is>
          <t>avverkningsanmälan</t>
        </is>
      </c>
      <c r="C528" t="inlineStr">
        <is>
          <t>Föryngringsavverkning</t>
        </is>
      </c>
      <c r="D528" s="1" t="n">
        <v>45313</v>
      </c>
      <c r="E528" s="1" t="n">
        <v>46216</v>
      </c>
      <c r="F528" t="inlineStr">
        <is>
          <t>VÄSTRA GÖTALANDS LÄN</t>
        </is>
      </c>
      <c r="G528" t="inlineStr">
        <is>
          <t>TRANEMO</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1533-2024</t>
        </is>
      </c>
      <c r="B529" t="inlineStr">
        <is>
          <t>avverkningsanmälan</t>
        </is>
      </c>
      <c r="C529" t="inlineStr">
        <is>
          <t>Föryngringsavverkning</t>
        </is>
      </c>
      <c r="D529" s="1" t="n">
        <v>45306</v>
      </c>
      <c r="E529" s="1" t="n">
        <v>46216</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27167-2023</t>
        </is>
      </c>
      <c r="B530" t="inlineStr">
        <is>
          <t>avverkningsanmälan</t>
        </is>
      </c>
      <c r="C530" t="inlineStr">
        <is>
          <t>Föryngringsavverkning</t>
        </is>
      </c>
      <c r="D530" s="1" t="n">
        <v>45096</v>
      </c>
      <c r="E530" s="1" t="n">
        <v>46216</v>
      </c>
      <c r="F530" t="inlineStr">
        <is>
          <t>VÄSTRA GÖTALANDS LÄN</t>
        </is>
      </c>
      <c r="G530" t="inlineStr">
        <is>
          <t>TRANEMO</t>
        </is>
      </c>
      <c r="H530" t="inlineStr">
        <is>
          <t>Kommuner</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27172-2023</t>
        </is>
      </c>
      <c r="B531" t="inlineStr">
        <is>
          <t>avverkningsanmälan</t>
        </is>
      </c>
      <c r="C531" t="inlineStr">
        <is>
          <t>Föryngringsavverkning</t>
        </is>
      </c>
      <c r="D531" s="1" t="n">
        <v>45096</v>
      </c>
      <c r="E531" s="1" t="n">
        <v>46216</v>
      </c>
      <c r="F531" t="inlineStr">
        <is>
          <t>VÄSTRA GÖTALANDS LÄN</t>
        </is>
      </c>
      <c r="G531" t="inlineStr">
        <is>
          <t>TRANEMO</t>
        </is>
      </c>
      <c r="H531" t="inlineStr">
        <is>
          <t>Kommuner</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31011-2026</t>
        </is>
      </c>
      <c r="B532" t="inlineStr">
        <is>
          <t>avverkningsanmälan</t>
        </is>
      </c>
      <c r="C532" t="inlineStr">
        <is>
          <t>Föryngringsavverkning</t>
        </is>
      </c>
      <c r="D532" s="1" t="n">
        <v>46213</v>
      </c>
      <c r="E532" s="1" t="n">
        <v>46216</v>
      </c>
      <c r="F532" t="inlineStr">
        <is>
          <t>VÄSTRA GÖTALANDS LÄN</t>
        </is>
      </c>
      <c r="G532" t="inlineStr">
        <is>
          <t>TRANEMO</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33459-2023</t>
        </is>
      </c>
      <c r="B533" t="inlineStr">
        <is>
          <t>avverkningsanmälan</t>
        </is>
      </c>
      <c r="C533" t="inlineStr">
        <is>
          <t>Föryngringsavverkning</t>
        </is>
      </c>
      <c r="D533" s="1" t="n">
        <v>45131</v>
      </c>
      <c r="E533" s="1" t="n">
        <v>46216</v>
      </c>
      <c r="F533" t="inlineStr">
        <is>
          <t>VÄSTRA GÖTALANDS LÄN</t>
        </is>
      </c>
      <c r="G533" t="inlineStr">
        <is>
          <t>TRANEMO</t>
        </is>
      </c>
      <c r="I533" t="n">
        <v>5.1</v>
      </c>
      <c r="J533" t="n">
        <v>0</v>
      </c>
      <c r="K533" t="n">
        <v>0</v>
      </c>
      <c r="L533" t="n">
        <v>0</v>
      </c>
      <c r="M533" t="n">
        <v>0</v>
      </c>
      <c r="N533" t="n">
        <v>0</v>
      </c>
      <c r="O533" t="n">
        <v>0</v>
      </c>
      <c r="P533" t="n">
        <v>0</v>
      </c>
      <c r="Q533" t="n">
        <v>0</v>
      </c>
      <c r="R533" t="n">
        <v>0</v>
      </c>
      <c r="S533" t="n">
        <v>0</v>
      </c>
      <c r="T533" t="n">
        <v>0</v>
      </c>
      <c r="U533" s="2" t="inlineStr"/>
    </row>
    <row r="534" ht="15" customHeight="1">
      <c r="A534" t="inlineStr">
        <is>
          <t>A 31015-2026</t>
        </is>
      </c>
      <c r="B534" t="inlineStr">
        <is>
          <t>avverkningsanmälan</t>
        </is>
      </c>
      <c r="C534" t="inlineStr">
        <is>
          <t>Föryngringsavverkning</t>
        </is>
      </c>
      <c r="D534" s="1" t="n">
        <v>46213</v>
      </c>
      <c r="E534" s="1" t="n">
        <v>46216</v>
      </c>
      <c r="F534" t="inlineStr">
        <is>
          <t>VÄSTRA GÖTALANDS LÄN</t>
        </is>
      </c>
      <c r="G534" t="inlineStr">
        <is>
          <t>TRANEMO</t>
        </is>
      </c>
      <c r="I534" t="n">
        <v>2.6</v>
      </c>
      <c r="J534" t="n">
        <v>0</v>
      </c>
      <c r="K534" t="n">
        <v>0</v>
      </c>
      <c r="L534" t="n">
        <v>0</v>
      </c>
      <c r="M534" t="n">
        <v>0</v>
      </c>
      <c r="N534" t="n">
        <v>0</v>
      </c>
      <c r="O534" t="n">
        <v>0</v>
      </c>
      <c r="P534" t="n">
        <v>0</v>
      </c>
      <c r="Q534" t="n">
        <v>0</v>
      </c>
      <c r="R534" t="n">
        <v>0</v>
      </c>
      <c r="S534" t="n">
        <v>0</v>
      </c>
      <c r="T534" t="n">
        <v>0</v>
      </c>
      <c r="U534" s="2" t="inlineStr"/>
    </row>
    <row r="535" ht="15" customHeight="1">
      <c r="A535" t="inlineStr">
        <is>
          <t>A 31002-2026</t>
        </is>
      </c>
      <c r="B535" t="inlineStr">
        <is>
          <t>avverkningsanmälan</t>
        </is>
      </c>
      <c r="C535" t="inlineStr">
        <is>
          <t>Föryngringsavverkning</t>
        </is>
      </c>
      <c r="D535" s="1" t="n">
        <v>46213</v>
      </c>
      <c r="E535" s="1" t="n">
        <v>46216</v>
      </c>
      <c r="F535" t="inlineStr">
        <is>
          <t>VÄSTRA GÖTALANDS LÄN</t>
        </is>
      </c>
      <c r="G535" t="inlineStr">
        <is>
          <t>TRANEMO</t>
        </is>
      </c>
      <c r="I535" t="n">
        <v>2.4</v>
      </c>
      <c r="J535" t="n">
        <v>0</v>
      </c>
      <c r="K535" t="n">
        <v>0</v>
      </c>
      <c r="L535" t="n">
        <v>0</v>
      </c>
      <c r="M535" t="n">
        <v>0</v>
      </c>
      <c r="N535" t="n">
        <v>0</v>
      </c>
      <c r="O535" t="n">
        <v>0</v>
      </c>
      <c r="P535" t="n">
        <v>0</v>
      </c>
      <c r="Q535" t="n">
        <v>0</v>
      </c>
      <c r="R535" t="n">
        <v>0</v>
      </c>
      <c r="S535" t="n">
        <v>0</v>
      </c>
      <c r="T535" t="n">
        <v>0</v>
      </c>
      <c r="U535" s="2" t="inlineStr"/>
    </row>
    <row r="536" ht="15" customHeight="1">
      <c r="A536" t="inlineStr">
        <is>
          <t>A 4704-2024</t>
        </is>
      </c>
      <c r="B536" t="inlineStr">
        <is>
          <t>avverkningsanmälan</t>
        </is>
      </c>
      <c r="C536" t="inlineStr">
        <is>
          <t>Föryngringsavverkning</t>
        </is>
      </c>
      <c r="D536" s="1" t="n">
        <v>45328</v>
      </c>
      <c r="E536" s="1" t="n">
        <v>46216</v>
      </c>
      <c r="F536" t="inlineStr">
        <is>
          <t>VÄSTRA GÖTALANDS LÄN</t>
        </is>
      </c>
      <c r="G536" t="inlineStr">
        <is>
          <t>TRANEMO</t>
        </is>
      </c>
      <c r="H536" t="inlineStr">
        <is>
          <t>Sveaskog</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30982-2023</t>
        </is>
      </c>
      <c r="B537" t="inlineStr">
        <is>
          <t>avverkningsanmälan</t>
        </is>
      </c>
      <c r="C537" t="inlineStr">
        <is>
          <t>Föryngringsavverkning</t>
        </is>
      </c>
      <c r="D537" s="1" t="n">
        <v>45113</v>
      </c>
      <c r="E537" s="1" t="n">
        <v>46216</v>
      </c>
      <c r="F537" t="inlineStr">
        <is>
          <t>VÄSTRA GÖTALANDS LÄN</t>
        </is>
      </c>
      <c r="G537" t="inlineStr">
        <is>
          <t>TRANEMO</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870-2024</t>
        </is>
      </c>
      <c r="B538" t="inlineStr">
        <is>
          <t>avverkningsanmälan</t>
        </is>
      </c>
      <c r="C538" t="inlineStr">
        <is>
          <t>Föryngringsavverkning</t>
        </is>
      </c>
      <c r="D538" s="1" t="n">
        <v>45301</v>
      </c>
      <c r="E538" s="1" t="n">
        <v>46216</v>
      </c>
      <c r="F538" t="inlineStr">
        <is>
          <t>VÄSTRA GÖTALANDS LÄN</t>
        </is>
      </c>
      <c r="G538" t="inlineStr">
        <is>
          <t>TRANEMO</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2094-2025</t>
        </is>
      </c>
      <c r="B539" t="inlineStr">
        <is>
          <t>avverkningsanmälan</t>
        </is>
      </c>
      <c r="C539" t="inlineStr">
        <is>
          <t>Föryngringsavverkning</t>
        </is>
      </c>
      <c r="D539" s="1" t="n">
        <v>45672</v>
      </c>
      <c r="E539" s="1" t="n">
        <v>46216</v>
      </c>
      <c r="F539" t="inlineStr">
        <is>
          <t>VÄSTRA GÖTALANDS LÄN</t>
        </is>
      </c>
      <c r="G539" t="inlineStr">
        <is>
          <t>TRANEMO</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61904-2023</t>
        </is>
      </c>
      <c r="B540" t="inlineStr">
        <is>
          <t>avverkningsanmälan</t>
        </is>
      </c>
      <c r="C540" t="inlineStr">
        <is>
          <t>Föryngringsavverkning</t>
        </is>
      </c>
      <c r="D540" s="1" t="n">
        <v>45266</v>
      </c>
      <c r="E540" s="1" t="n">
        <v>46216</v>
      </c>
      <c r="F540" t="inlineStr">
        <is>
          <t>VÄSTRA GÖTALANDS LÄN</t>
        </is>
      </c>
      <c r="G540" t="inlineStr">
        <is>
          <t>TRANEMO</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16001-2022</t>
        </is>
      </c>
      <c r="B541" t="inlineStr">
        <is>
          <t>avverkningsanmälan</t>
        </is>
      </c>
      <c r="C541" t="inlineStr">
        <is>
          <t>Föryngringsavverkning</t>
        </is>
      </c>
      <c r="D541" s="1" t="n">
        <v>44665</v>
      </c>
      <c r="E541" s="1" t="n">
        <v>46216</v>
      </c>
      <c r="F541" t="inlineStr">
        <is>
          <t>VÄSTRA GÖTALANDS LÄN</t>
        </is>
      </c>
      <c r="G541" t="inlineStr">
        <is>
          <t>TRANEMO</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27177-2023</t>
        </is>
      </c>
      <c r="B542" t="inlineStr">
        <is>
          <t>avverkningsanmälan</t>
        </is>
      </c>
      <c r="C542" t="inlineStr">
        <is>
          <t>Föryngringsavverkning</t>
        </is>
      </c>
      <c r="D542" s="1" t="n">
        <v>45096</v>
      </c>
      <c r="E542" s="1" t="n">
        <v>46216</v>
      </c>
      <c r="F542" t="inlineStr">
        <is>
          <t>VÄSTRA GÖTALANDS LÄN</t>
        </is>
      </c>
      <c r="G542" t="inlineStr">
        <is>
          <t>TRANEMO</t>
        </is>
      </c>
      <c r="H542" t="inlineStr">
        <is>
          <t>Kommuner</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59906-2024</t>
        </is>
      </c>
      <c r="B543" t="inlineStr">
        <is>
          <t>avverkningsanmälan</t>
        </is>
      </c>
      <c r="C543" t="inlineStr">
        <is>
          <t>Föryngringsavverkning</t>
        </is>
      </c>
      <c r="D543" s="1" t="n">
        <v>45641</v>
      </c>
      <c r="E543" s="1" t="n">
        <v>46216</v>
      </c>
      <c r="F543" t="inlineStr">
        <is>
          <t>VÄSTRA GÖTALANDS LÄN</t>
        </is>
      </c>
      <c r="G543" t="inlineStr">
        <is>
          <t>TRANEMO</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23177-2023</t>
        </is>
      </c>
      <c r="B544" t="inlineStr">
        <is>
          <t>avverkningsanmälan</t>
        </is>
      </c>
      <c r="C544" t="inlineStr">
        <is>
          <t>Föryngringsavverkning</t>
        </is>
      </c>
      <c r="D544" s="1" t="n">
        <v>45075</v>
      </c>
      <c r="E544" s="1" t="n">
        <v>46216</v>
      </c>
      <c r="F544" t="inlineStr">
        <is>
          <t>VÄSTRA GÖTALANDS LÄN</t>
        </is>
      </c>
      <c r="G544" t="inlineStr">
        <is>
          <t>TRANEMO</t>
        </is>
      </c>
      <c r="I544" t="n">
        <v>3.5</v>
      </c>
      <c r="J544" t="n">
        <v>0</v>
      </c>
      <c r="K544" t="n">
        <v>0</v>
      </c>
      <c r="L544" t="n">
        <v>0</v>
      </c>
      <c r="M544" t="n">
        <v>0</v>
      </c>
      <c r="N544" t="n">
        <v>0</v>
      </c>
      <c r="O544" t="n">
        <v>0</v>
      </c>
      <c r="P544" t="n">
        <v>0</v>
      </c>
      <c r="Q544" t="n">
        <v>0</v>
      </c>
      <c r="R544" t="n">
        <v>0</v>
      </c>
      <c r="S544" t="n">
        <v>0</v>
      </c>
      <c r="T544" t="n">
        <v>0</v>
      </c>
      <c r="U544" s="2" t="inlineStr"/>
    </row>
    <row r="545" ht="15" customHeight="1">
      <c r="A545" t="inlineStr">
        <is>
          <t>A 54031-2024</t>
        </is>
      </c>
      <c r="B545" t="inlineStr">
        <is>
          <t>avverkningsanmälan</t>
        </is>
      </c>
      <c r="C545" t="inlineStr">
        <is>
          <t>Föryngringsavverkning</t>
        </is>
      </c>
      <c r="D545" s="1" t="n">
        <v>45616</v>
      </c>
      <c r="E545" s="1" t="n">
        <v>46216</v>
      </c>
      <c r="F545" t="inlineStr">
        <is>
          <t>VÄSTRA GÖTALANDS LÄN</t>
        </is>
      </c>
      <c r="G545" t="inlineStr">
        <is>
          <t>TRANEMO</t>
        </is>
      </c>
      <c r="I545" t="n">
        <v>3</v>
      </c>
      <c r="J545" t="n">
        <v>0</v>
      </c>
      <c r="K545" t="n">
        <v>0</v>
      </c>
      <c r="L545" t="n">
        <v>0</v>
      </c>
      <c r="M545" t="n">
        <v>0</v>
      </c>
      <c r="N545" t="n">
        <v>0</v>
      </c>
      <c r="O545" t="n">
        <v>0</v>
      </c>
      <c r="P545" t="n">
        <v>0</v>
      </c>
      <c r="Q545" t="n">
        <v>0</v>
      </c>
      <c r="R545" t="n">
        <v>0</v>
      </c>
      <c r="S545" t="n">
        <v>0</v>
      </c>
      <c r="T545" t="n">
        <v>0</v>
      </c>
      <c r="U545" s="2" t="inlineStr"/>
    </row>
    <row r="546" ht="15" customHeight="1">
      <c r="A546" t="inlineStr">
        <is>
          <t>A 24275-2025</t>
        </is>
      </c>
      <c r="B546" t="inlineStr">
        <is>
          <t>avverkningsanmälan</t>
        </is>
      </c>
      <c r="C546" t="inlineStr">
        <is>
          <t>Föryngringsavverkning</t>
        </is>
      </c>
      <c r="D546" s="1" t="n">
        <v>45797</v>
      </c>
      <c r="E546" s="1" t="n">
        <v>46216</v>
      </c>
      <c r="F546" t="inlineStr">
        <is>
          <t>VÄSTRA GÖTALANDS LÄN</t>
        </is>
      </c>
      <c r="G546" t="inlineStr">
        <is>
          <t>TRANEMO</t>
        </is>
      </c>
      <c r="I546" t="n">
        <v>6.9</v>
      </c>
      <c r="J546" t="n">
        <v>0</v>
      </c>
      <c r="K546" t="n">
        <v>0</v>
      </c>
      <c r="L546" t="n">
        <v>0</v>
      </c>
      <c r="M546" t="n">
        <v>0</v>
      </c>
      <c r="N546" t="n">
        <v>0</v>
      </c>
      <c r="O546" t="n">
        <v>0</v>
      </c>
      <c r="P546" t="n">
        <v>0</v>
      </c>
      <c r="Q546" t="n">
        <v>0</v>
      </c>
      <c r="R546" t="n">
        <v>0</v>
      </c>
      <c r="S546" t="n">
        <v>0</v>
      </c>
      <c r="T546" t="n">
        <v>0</v>
      </c>
      <c r="U546" s="2" t="inlineStr"/>
    </row>
    <row r="547" ht="15" customHeight="1">
      <c r="A547" t="inlineStr">
        <is>
          <t>S 1155-2024</t>
        </is>
      </c>
      <c r="B547" t="inlineStr">
        <is>
          <t>samrådsanmälan</t>
        </is>
      </c>
      <c r="C547" t="inlineStr">
        <is>
          <t>Askåterföring</t>
        </is>
      </c>
      <c r="D547" s="1" t="n">
        <v>45394</v>
      </c>
      <c r="E547" s="1" t="n">
        <v>46216</v>
      </c>
      <c r="F547" t="inlineStr">
        <is>
          <t>VÄSTRA GÖTALANDS LÄN</t>
        </is>
      </c>
      <c r="G547" t="inlineStr">
        <is>
          <t>TRANEMO</t>
        </is>
      </c>
      <c r="I547" t="n">
        <v>14.2</v>
      </c>
      <c r="J547" t="n">
        <v>0</v>
      </c>
      <c r="K547" t="n">
        <v>0</v>
      </c>
      <c r="L547" t="n">
        <v>0</v>
      </c>
      <c r="M547" t="n">
        <v>0</v>
      </c>
      <c r="N547" t="n">
        <v>0</v>
      </c>
      <c r="O547" t="n">
        <v>0</v>
      </c>
      <c r="P547" t="n">
        <v>0</v>
      </c>
      <c r="Q547" t="n">
        <v>0</v>
      </c>
      <c r="R547" t="n">
        <v>0</v>
      </c>
      <c r="S547" t="n">
        <v>0</v>
      </c>
      <c r="T547" t="n">
        <v>0</v>
      </c>
      <c r="U547" s="2" t="inlineStr"/>
    </row>
    <row r="548" ht="15" customHeight="1">
      <c r="A548" t="inlineStr">
        <is>
          <t>S 1083-2024</t>
        </is>
      </c>
      <c r="B548" t="inlineStr">
        <is>
          <t>samrådsanmälan</t>
        </is>
      </c>
      <c r="C548" t="inlineStr">
        <is>
          <t>Askåterföring</t>
        </is>
      </c>
      <c r="D548" s="1" t="n">
        <v>45389</v>
      </c>
      <c r="E548" s="1" t="n">
        <v>46216</v>
      </c>
      <c r="F548" t="inlineStr">
        <is>
          <t>VÄSTRA GÖTALANDS LÄN</t>
        </is>
      </c>
      <c r="G548" t="inlineStr">
        <is>
          <t>TRANEMO</t>
        </is>
      </c>
      <c r="I548" t="n">
        <v>21.7</v>
      </c>
      <c r="J548" t="n">
        <v>0</v>
      </c>
      <c r="K548" t="n">
        <v>0</v>
      </c>
      <c r="L548" t="n">
        <v>0</v>
      </c>
      <c r="M548" t="n">
        <v>0</v>
      </c>
      <c r="N548" t="n">
        <v>0</v>
      </c>
      <c r="O548" t="n">
        <v>0</v>
      </c>
      <c r="P548" t="n">
        <v>0</v>
      </c>
      <c r="Q548" t="n">
        <v>0</v>
      </c>
      <c r="R548" t="n">
        <v>0</v>
      </c>
      <c r="S548" t="n">
        <v>0</v>
      </c>
      <c r="T548" t="n">
        <v>0</v>
      </c>
      <c r="U548" s="2" t="inlineStr"/>
    </row>
    <row r="549" ht="15" customHeight="1">
      <c r="A549" t="inlineStr">
        <is>
          <t>S 3585-2022</t>
        </is>
      </c>
      <c r="B549" t="inlineStr">
        <is>
          <t>samrådsanmälan</t>
        </is>
      </c>
      <c r="C549" t="inlineStr">
        <is>
          <t>Askåterföring</t>
        </is>
      </c>
      <c r="D549" s="1" t="n">
        <v>44735</v>
      </c>
      <c r="E549" s="1" t="n">
        <v>46216</v>
      </c>
      <c r="F549" t="inlineStr">
        <is>
          <t>VÄSTRA GÖTALANDS LÄN</t>
        </is>
      </c>
      <c r="G549" t="inlineStr">
        <is>
          <t>TRANEMO</t>
        </is>
      </c>
      <c r="I549" t="n">
        <v>35</v>
      </c>
      <c r="J549" t="n">
        <v>0</v>
      </c>
      <c r="K549" t="n">
        <v>0</v>
      </c>
      <c r="L549" t="n">
        <v>0</v>
      </c>
      <c r="M549" t="n">
        <v>0</v>
      </c>
      <c r="N549" t="n">
        <v>0</v>
      </c>
      <c r="O549" t="n">
        <v>0</v>
      </c>
      <c r="P549" t="n">
        <v>0</v>
      </c>
      <c r="Q549" t="n">
        <v>0</v>
      </c>
      <c r="R549" t="n">
        <v>0</v>
      </c>
      <c r="S549" t="n">
        <v>0</v>
      </c>
      <c r="T549" t="n">
        <v>0</v>
      </c>
      <c r="U549" s="2" t="inlineStr"/>
    </row>
    <row r="550" ht="15" customHeight="1">
      <c r="A550" t="inlineStr">
        <is>
          <t>S 2114-2024</t>
        </is>
      </c>
      <c r="B550" t="inlineStr">
        <is>
          <t>samrådsanmälan</t>
        </is>
      </c>
      <c r="C550" t="inlineStr">
        <is>
          <t>Annan skogsbruksåtgärd</t>
        </is>
      </c>
      <c r="D550" s="1" t="n">
        <v>45454</v>
      </c>
      <c r="E550" s="1" t="n">
        <v>46216</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S 1515-2024</t>
        </is>
      </c>
      <c r="B551" t="inlineStr">
        <is>
          <t>samrådsanmälan</t>
        </is>
      </c>
      <c r="C551" t="inlineStr">
        <is>
          <t>Askåterföring</t>
        </is>
      </c>
      <c r="D551" s="1" t="n">
        <v>45422</v>
      </c>
      <c r="E551" s="1" t="n">
        <v>46216</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s="2" t="inlineStr"/>
    </row>
    <row r="552" ht="15" customHeight="1">
      <c r="A552" t="inlineStr">
        <is>
          <t>S 4156-2022</t>
        </is>
      </c>
      <c r="B552" t="inlineStr">
        <is>
          <t>samrådsanmälan</t>
        </is>
      </c>
      <c r="C552" t="inlineStr">
        <is>
          <t>Askåterföring</t>
        </is>
      </c>
      <c r="D552" s="1" t="n">
        <v>44767</v>
      </c>
      <c r="E552" s="1" t="n">
        <v>46216</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s="2" t="inlineStr"/>
    </row>
    <row r="553" ht="15" customHeight="1">
      <c r="A553" t="inlineStr">
        <is>
          <t>S 2158-2023</t>
        </is>
      </c>
      <c r="B553" t="inlineStr">
        <is>
          <t>samrådsanmälan</t>
        </is>
      </c>
      <c r="C553" t="inlineStr">
        <is>
          <t>Askåterföring</t>
        </is>
      </c>
      <c r="D553" s="1" t="n">
        <v>45104</v>
      </c>
      <c r="E553" s="1" t="n">
        <v>46216</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s="2" t="inlineStr"/>
    </row>
    <row r="554" ht="15" customHeight="1">
      <c r="A554" t="inlineStr">
        <is>
          <t>S 2155-2023</t>
        </is>
      </c>
      <c r="B554" t="inlineStr">
        <is>
          <t>samrådsanmälan</t>
        </is>
      </c>
      <c r="C554" t="inlineStr">
        <is>
          <t>Askåterföring</t>
        </is>
      </c>
      <c r="D554" s="1" t="n">
        <v>45104</v>
      </c>
      <c r="E554" s="1" t="n">
        <v>46216</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s="2" t="inlineStr"/>
    </row>
    <row r="555" ht="15" customHeight="1">
      <c r="A555" t="inlineStr">
        <is>
          <t>S 992-2024</t>
        </is>
      </c>
      <c r="B555" t="inlineStr">
        <is>
          <t>samrådsanmälan</t>
        </is>
      </c>
      <c r="C555" t="inlineStr">
        <is>
          <t>Askåterföring</t>
        </is>
      </c>
      <c r="D555" s="1" t="n">
        <v>45385</v>
      </c>
      <c r="E555" s="1" t="n">
        <v>46216</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s="2" t="inlineStr"/>
    </row>
    <row r="556" ht="15" customHeight="1">
      <c r="A556" t="inlineStr">
        <is>
          <t>S 4861-2021</t>
        </is>
      </c>
      <c r="B556" t="inlineStr">
        <is>
          <t>samrådsanmälan</t>
        </is>
      </c>
      <c r="C556" t="inlineStr">
        <is>
          <t>Annan skogsbruksåtgärd</t>
        </is>
      </c>
      <c r="D556" s="1" t="n">
        <v>44417</v>
      </c>
      <c r="E556" s="1" t="n">
        <v>46216</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s="2" t="inlineStr"/>
    </row>
    <row r="557" ht="15" customHeight="1">
      <c r="A557" t="inlineStr">
        <is>
          <t>S 1517-2024</t>
        </is>
      </c>
      <c r="B557" t="inlineStr">
        <is>
          <t>samrådsanmälan</t>
        </is>
      </c>
      <c r="C557" t="inlineStr">
        <is>
          <t>Askåterföring</t>
        </is>
      </c>
      <c r="D557" s="1" t="n">
        <v>45422</v>
      </c>
      <c r="E557" s="1" t="n">
        <v>46216</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S 1513-2024</t>
        </is>
      </c>
      <c r="B558" t="inlineStr">
        <is>
          <t>samrådsanmälan</t>
        </is>
      </c>
      <c r="C558" t="inlineStr">
        <is>
          <t>Askåterföring</t>
        </is>
      </c>
      <c r="D558" s="1" t="n">
        <v>45422</v>
      </c>
      <c r="E558" s="1" t="n">
        <v>46216</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s="2" t="inlineStr"/>
    </row>
    <row r="559" ht="15" customHeight="1">
      <c r="A559" t="inlineStr">
        <is>
          <t>S 6159-2022</t>
        </is>
      </c>
      <c r="B559" t="inlineStr">
        <is>
          <t>samrådsanmälan</t>
        </is>
      </c>
      <c r="C559" t="inlineStr">
        <is>
          <t>Askåterföring</t>
        </is>
      </c>
      <c r="D559" s="1" t="n">
        <v>44865</v>
      </c>
      <c r="E559" s="1" t="n">
        <v>46216</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s="2" t="inlineStr"/>
    </row>
    <row r="560" ht="15" customHeight="1">
      <c r="A560" t="inlineStr">
        <is>
          <t>S 3577-2022</t>
        </is>
      </c>
      <c r="B560" t="inlineStr">
        <is>
          <t>samrådsanmälan</t>
        </is>
      </c>
      <c r="C560" t="inlineStr">
        <is>
          <t>Askåterföring</t>
        </is>
      </c>
      <c r="D560" s="1" t="n">
        <v>44735</v>
      </c>
      <c r="E560" s="1" t="n">
        <v>46216</v>
      </c>
      <c r="F560" t="inlineStr">
        <is>
          <t>VÄSTRA GÖTALANDS LÄN</t>
        </is>
      </c>
      <c r="G560" t="inlineStr">
        <is>
          <t>TRANEMO</t>
        </is>
      </c>
      <c r="I560" t="n">
        <v>11.4</v>
      </c>
      <c r="J560" t="n">
        <v>0</v>
      </c>
      <c r="K560" t="n">
        <v>0</v>
      </c>
      <c r="L560" t="n">
        <v>0</v>
      </c>
      <c r="M560" t="n">
        <v>0</v>
      </c>
      <c r="N560" t="n">
        <v>0</v>
      </c>
      <c r="O560" t="n">
        <v>0</v>
      </c>
      <c r="P560" t="n">
        <v>0</v>
      </c>
      <c r="Q560" t="n">
        <v>0</v>
      </c>
      <c r="R560" t="n">
        <v>0</v>
      </c>
      <c r="S560" t="n">
        <v>0</v>
      </c>
      <c r="T560" t="n">
        <v>0</v>
      </c>
      <c r="U560" s="2" t="inlineStr"/>
    </row>
    <row r="561" ht="15" customHeight="1">
      <c r="A561" t="inlineStr">
        <is>
          <t>S 3588-2022</t>
        </is>
      </c>
      <c r="B561" t="inlineStr">
        <is>
          <t>samrådsanmälan</t>
        </is>
      </c>
      <c r="C561" t="inlineStr">
        <is>
          <t>Askåterföring</t>
        </is>
      </c>
      <c r="D561" s="1" t="n">
        <v>44735</v>
      </c>
      <c r="E561" s="1" t="n">
        <v>46216</v>
      </c>
      <c r="F561" t="inlineStr">
        <is>
          <t>VÄSTRA GÖTALANDS LÄN</t>
        </is>
      </c>
      <c r="G561" t="inlineStr">
        <is>
          <t>TRANEMO</t>
        </is>
      </c>
      <c r="I561" t="n">
        <v>12.1</v>
      </c>
      <c r="J561" t="n">
        <v>0</v>
      </c>
      <c r="K561" t="n">
        <v>0</v>
      </c>
      <c r="L561" t="n">
        <v>0</v>
      </c>
      <c r="M561" t="n">
        <v>0</v>
      </c>
      <c r="N561" t="n">
        <v>0</v>
      </c>
      <c r="O561" t="n">
        <v>0</v>
      </c>
      <c r="P561" t="n">
        <v>0</v>
      </c>
      <c r="Q561" t="n">
        <v>0</v>
      </c>
      <c r="R561" t="n">
        <v>0</v>
      </c>
      <c r="S561" t="n">
        <v>0</v>
      </c>
      <c r="T561" t="n">
        <v>0</v>
      </c>
      <c r="U561" s="2" t="inlineStr"/>
    </row>
    <row r="562" ht="15" customHeight="1">
      <c r="A562" t="inlineStr">
        <is>
          <t>S 1293-2025</t>
        </is>
      </c>
      <c r="B562" t="inlineStr">
        <is>
          <t>samrådsanmälan</t>
        </is>
      </c>
      <c r="C562" t="inlineStr">
        <is>
          <t>Askåterföring</t>
        </is>
      </c>
      <c r="D562" s="1" t="n">
        <v>45769</v>
      </c>
      <c r="E562" s="1" t="n">
        <v>46216</v>
      </c>
      <c r="F562" t="inlineStr">
        <is>
          <t>VÄSTRA GÖTALANDS LÄN</t>
        </is>
      </c>
      <c r="G562" t="inlineStr">
        <is>
          <t>TRANEMO</t>
        </is>
      </c>
      <c r="I562" t="n">
        <v>13.8</v>
      </c>
      <c r="J562" t="n">
        <v>0</v>
      </c>
      <c r="K562" t="n">
        <v>0</v>
      </c>
      <c r="L562" t="n">
        <v>0</v>
      </c>
      <c r="M562" t="n">
        <v>0</v>
      </c>
      <c r="N562" t="n">
        <v>0</v>
      </c>
      <c r="O562" t="n">
        <v>0</v>
      </c>
      <c r="P562" t="n">
        <v>0</v>
      </c>
      <c r="Q562" t="n">
        <v>0</v>
      </c>
      <c r="R562" t="n">
        <v>0</v>
      </c>
      <c r="S562" t="n">
        <v>0</v>
      </c>
      <c r="T562" t="n">
        <v>0</v>
      </c>
      <c r="U562" s="2" t="inlineStr"/>
    </row>
    <row r="563" ht="15" customHeight="1">
      <c r="A563" t="inlineStr">
        <is>
          <t>S 1852-2025</t>
        </is>
      </c>
      <c r="B563" t="inlineStr">
        <is>
          <t>samrådsanmälan</t>
        </is>
      </c>
      <c r="C563" t="inlineStr">
        <is>
          <t>Annan skogsbruksåtgärd</t>
        </is>
      </c>
      <c r="D563" s="1" t="n">
        <v>45820</v>
      </c>
      <c r="E563" s="1" t="n">
        <v>46216</v>
      </c>
      <c r="F563" t="inlineStr">
        <is>
          <t>VÄSTRA GÖTALANDS LÄN</t>
        </is>
      </c>
      <c r="G563" t="inlineStr">
        <is>
          <t>TRANEMO</t>
        </is>
      </c>
      <c r="I563" t="n">
        <v>3.9</v>
      </c>
      <c r="J563" t="n">
        <v>0</v>
      </c>
      <c r="K563" t="n">
        <v>0</v>
      </c>
      <c r="L563" t="n">
        <v>0</v>
      </c>
      <c r="M563" t="n">
        <v>0</v>
      </c>
      <c r="N563" t="n">
        <v>0</v>
      </c>
      <c r="O563" t="n">
        <v>0</v>
      </c>
      <c r="P563" t="n">
        <v>0</v>
      </c>
      <c r="Q563" t="n">
        <v>0</v>
      </c>
      <c r="R563" t="n">
        <v>0</v>
      </c>
      <c r="S563" t="n">
        <v>0</v>
      </c>
      <c r="T563" t="n">
        <v>0</v>
      </c>
      <c r="U563" s="2" t="inlineStr"/>
    </row>
    <row r="564" ht="15" customHeight="1">
      <c r="A564" t="inlineStr">
        <is>
          <t>S 60-2025</t>
        </is>
      </c>
      <c r="B564" t="inlineStr">
        <is>
          <t>samrådsanmälan</t>
        </is>
      </c>
      <c r="C564" t="inlineStr">
        <is>
          <t>Askåterföring</t>
        </is>
      </c>
      <c r="D564" s="1" t="n">
        <v>45667</v>
      </c>
      <c r="E564" s="1" t="n">
        <v>46216</v>
      </c>
      <c r="F564" t="inlineStr">
        <is>
          <t>VÄSTRA GÖTALANDS LÄN</t>
        </is>
      </c>
      <c r="G564" t="inlineStr">
        <is>
          <t>TRANEMO</t>
        </is>
      </c>
      <c r="I564" t="n">
        <v>33.7</v>
      </c>
      <c r="J564" t="n">
        <v>0</v>
      </c>
      <c r="K564" t="n">
        <v>0</v>
      </c>
      <c r="L564" t="n">
        <v>0</v>
      </c>
      <c r="M564" t="n">
        <v>0</v>
      </c>
      <c r="N564" t="n">
        <v>0</v>
      </c>
      <c r="O564" t="n">
        <v>0</v>
      </c>
      <c r="P564" t="n">
        <v>0</v>
      </c>
      <c r="Q564" t="n">
        <v>0</v>
      </c>
      <c r="R564" t="n">
        <v>0</v>
      </c>
      <c r="S564" t="n">
        <v>0</v>
      </c>
      <c r="T564" t="n">
        <v>0</v>
      </c>
      <c r="U564" s="2" t="inlineStr"/>
    </row>
    <row r="565" ht="15" customHeight="1">
      <c r="A565" t="inlineStr">
        <is>
          <t>S 164-2025</t>
        </is>
      </c>
      <c r="B565" t="inlineStr">
        <is>
          <t>samrådsanmälan</t>
        </is>
      </c>
      <c r="C565" t="inlineStr">
        <is>
          <t>Annan skogsbruksåtgärd</t>
        </is>
      </c>
      <c r="D565" s="1" t="n">
        <v>45677</v>
      </c>
      <c r="E565" s="1" t="n">
        <v>46216</v>
      </c>
      <c r="F565" t="inlineStr">
        <is>
          <t>VÄSTRA GÖTALANDS LÄN</t>
        </is>
      </c>
      <c r="G565" t="inlineStr">
        <is>
          <t>TRANEMO</t>
        </is>
      </c>
      <c r="I565" t="n">
        <v>5.6</v>
      </c>
      <c r="J565" t="n">
        <v>0</v>
      </c>
      <c r="K565" t="n">
        <v>0</v>
      </c>
      <c r="L565" t="n">
        <v>0</v>
      </c>
      <c r="M565" t="n">
        <v>0</v>
      </c>
      <c r="N565" t="n">
        <v>0</v>
      </c>
      <c r="O565" t="n">
        <v>0</v>
      </c>
      <c r="P565" t="n">
        <v>0</v>
      </c>
      <c r="Q565" t="n">
        <v>0</v>
      </c>
      <c r="R565" t="n">
        <v>0</v>
      </c>
      <c r="S565" t="n">
        <v>0</v>
      </c>
      <c r="T565" t="n">
        <v>0</v>
      </c>
      <c r="U565" s="2" t="inlineStr"/>
    </row>
    <row r="566" ht="15" customHeight="1">
      <c r="A566" t="inlineStr">
        <is>
          <t>S 5064-2024</t>
        </is>
      </c>
      <c r="B566" t="inlineStr">
        <is>
          <t>samrådsanmälan</t>
        </is>
      </c>
      <c r="C566" t="inlineStr">
        <is>
          <t>Askåterföring</t>
        </is>
      </c>
      <c r="D566" s="1" t="n">
        <v>45638</v>
      </c>
      <c r="E566" s="1" t="n">
        <v>46216</v>
      </c>
      <c r="F566" t="inlineStr">
        <is>
          <t>VÄSTRA GÖTALANDS LÄN</t>
        </is>
      </c>
      <c r="G566" t="inlineStr">
        <is>
          <t>TRANEMO</t>
        </is>
      </c>
      <c r="I566" t="n">
        <v>38.6</v>
      </c>
      <c r="J566" t="n">
        <v>0</v>
      </c>
      <c r="K566" t="n">
        <v>0</v>
      </c>
      <c r="L566" t="n">
        <v>0</v>
      </c>
      <c r="M566" t="n">
        <v>0</v>
      </c>
      <c r="N566" t="n">
        <v>0</v>
      </c>
      <c r="O566" t="n">
        <v>0</v>
      </c>
      <c r="P566" t="n">
        <v>0</v>
      </c>
      <c r="Q566" t="n">
        <v>0</v>
      </c>
      <c r="R566" t="n">
        <v>0</v>
      </c>
      <c r="S566" t="n">
        <v>0</v>
      </c>
      <c r="T566" t="n">
        <v>0</v>
      </c>
      <c r="U566" s="2" t="inlineStr"/>
    </row>
    <row r="567" ht="15" customHeight="1">
      <c r="A567" t="inlineStr">
        <is>
          <t>S 279-2025</t>
        </is>
      </c>
      <c r="B567" t="inlineStr">
        <is>
          <t>samrådsanmälan</t>
        </is>
      </c>
      <c r="C567" t="inlineStr">
        <is>
          <t>Askåterföring</t>
        </is>
      </c>
      <c r="D567" s="1" t="n">
        <v>45685</v>
      </c>
      <c r="E567" s="1" t="n">
        <v>46216</v>
      </c>
      <c r="F567" t="inlineStr">
        <is>
          <t>VÄSTRA GÖTALANDS LÄN</t>
        </is>
      </c>
      <c r="G567" t="inlineStr">
        <is>
          <t>TRANEMO</t>
        </is>
      </c>
      <c r="I567" t="n">
        <v>24.8</v>
      </c>
      <c r="J567" t="n">
        <v>0</v>
      </c>
      <c r="K567" t="n">
        <v>0</v>
      </c>
      <c r="L567" t="n">
        <v>0</v>
      </c>
      <c r="M567" t="n">
        <v>0</v>
      </c>
      <c r="N567" t="n">
        <v>0</v>
      </c>
      <c r="O567" t="n">
        <v>0</v>
      </c>
      <c r="P567" t="n">
        <v>0</v>
      </c>
      <c r="Q567" t="n">
        <v>0</v>
      </c>
      <c r="R567" t="n">
        <v>0</v>
      </c>
      <c r="S567" t="n">
        <v>0</v>
      </c>
      <c r="T567" t="n">
        <v>0</v>
      </c>
      <c r="U567" s="2" t="inlineStr"/>
    </row>
    <row r="568" ht="15" customHeight="1">
      <c r="A568" t="inlineStr">
        <is>
          <t>S 2304-2025</t>
        </is>
      </c>
      <c r="B568" t="inlineStr">
        <is>
          <t>samrådsanmälan</t>
        </is>
      </c>
      <c r="C568" t="inlineStr">
        <is>
          <t>Annan skogsbruksåtgärd</t>
        </is>
      </c>
      <c r="D568" s="1" t="n">
        <v>45881</v>
      </c>
      <c r="E568" s="1" t="n">
        <v>46216</v>
      </c>
      <c r="F568" t="inlineStr">
        <is>
          <t>VÄSTRA GÖTALANDS LÄN</t>
        </is>
      </c>
      <c r="G568" t="inlineStr">
        <is>
          <t>TRANEMO</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S 930-2025</t>
        </is>
      </c>
      <c r="B569" t="inlineStr">
        <is>
          <t>samrådsanmälan</t>
        </is>
      </c>
      <c r="C569" t="inlineStr">
        <is>
          <t>Askåterföring</t>
        </is>
      </c>
      <c r="D569" s="1" t="n">
        <v>45740</v>
      </c>
      <c r="E569" s="1" t="n">
        <v>46216</v>
      </c>
      <c r="F569" t="inlineStr">
        <is>
          <t>VÄSTRA GÖTALANDS LÄN</t>
        </is>
      </c>
      <c r="G569" t="inlineStr">
        <is>
          <t>TRANEMO</t>
        </is>
      </c>
      <c r="I569" t="n">
        <v>9.300000000000001</v>
      </c>
      <c r="J569" t="n">
        <v>0</v>
      </c>
      <c r="K569" t="n">
        <v>0</v>
      </c>
      <c r="L569" t="n">
        <v>0</v>
      </c>
      <c r="M569" t="n">
        <v>0</v>
      </c>
      <c r="N569" t="n">
        <v>0</v>
      </c>
      <c r="O569" t="n">
        <v>0</v>
      </c>
      <c r="P569" t="n">
        <v>0</v>
      </c>
      <c r="Q569" t="n">
        <v>0</v>
      </c>
      <c r="R569" t="n">
        <v>0</v>
      </c>
      <c r="S569" t="n">
        <v>0</v>
      </c>
      <c r="T569" t="n">
        <v>0</v>
      </c>
      <c r="U569" s="2" t="inlineStr"/>
    </row>
    <row r="570" ht="15" customHeight="1">
      <c r="A570" t="inlineStr">
        <is>
          <t>S 6161-2022</t>
        </is>
      </c>
      <c r="B570" t="inlineStr">
        <is>
          <t>samrådsanmälan</t>
        </is>
      </c>
      <c r="C570" t="inlineStr">
        <is>
          <t>Askåterföring</t>
        </is>
      </c>
      <c r="D570" s="1" t="n">
        <v>44866</v>
      </c>
      <c r="E570" s="1" t="n">
        <v>46216</v>
      </c>
      <c r="F570" t="inlineStr">
        <is>
          <t>VÄSTRA GÖTALANDS LÄN</t>
        </is>
      </c>
      <c r="G570" t="inlineStr">
        <is>
          <t>TRANEMO</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S 223-2026</t>
        </is>
      </c>
      <c r="B571" t="inlineStr">
        <is>
          <t>samrådsanmälan</t>
        </is>
      </c>
      <c r="C571" t="inlineStr">
        <is>
          <t>Annan skogsbruksåtgärd</t>
        </is>
      </c>
      <c r="D571" s="1" t="n">
        <v>46049</v>
      </c>
      <c r="E571" s="1" t="n">
        <v>46216</v>
      </c>
      <c r="F571" t="inlineStr">
        <is>
          <t>VÄSTRA GÖTALANDS LÄN</t>
        </is>
      </c>
      <c r="G571" t="inlineStr">
        <is>
          <t>TRANEMO</t>
        </is>
      </c>
      <c r="I571" t="n">
        <v>1.1</v>
      </c>
      <c r="J571" t="n">
        <v>0</v>
      </c>
      <c r="K571" t="n">
        <v>0</v>
      </c>
      <c r="L571" t="n">
        <v>0</v>
      </c>
      <c r="M571" t="n">
        <v>0</v>
      </c>
      <c r="N571" t="n">
        <v>0</v>
      </c>
      <c r="O571" t="n">
        <v>0</v>
      </c>
      <c r="P571" t="n">
        <v>0</v>
      </c>
      <c r="Q571" t="n">
        <v>0</v>
      </c>
      <c r="R571" t="n">
        <v>0</v>
      </c>
      <c r="S571" t="n">
        <v>0</v>
      </c>
      <c r="T571" t="n">
        <v>0</v>
      </c>
      <c r="U571" s="2" t="inlineStr"/>
    </row>
    <row r="572" ht="15" customHeight="1">
      <c r="A572" t="inlineStr">
        <is>
          <t>S 710-2026</t>
        </is>
      </c>
      <c r="B572" t="inlineStr">
        <is>
          <t>samrådsanmälan</t>
        </is>
      </c>
      <c r="C572" t="inlineStr">
        <is>
          <t>Askåterföring</t>
        </is>
      </c>
      <c r="D572" s="1" t="n">
        <v>46092</v>
      </c>
      <c r="E572" s="1" t="n">
        <v>46216</v>
      </c>
      <c r="F572" t="inlineStr">
        <is>
          <t>VÄSTRA GÖTALANDS LÄN</t>
        </is>
      </c>
      <c r="G572" t="inlineStr">
        <is>
          <t>TRANEMO</t>
        </is>
      </c>
      <c r="I572" t="n">
        <v>13.5</v>
      </c>
      <c r="J572" t="n">
        <v>0</v>
      </c>
      <c r="K572" t="n">
        <v>0</v>
      </c>
      <c r="L572" t="n">
        <v>0</v>
      </c>
      <c r="M572" t="n">
        <v>0</v>
      </c>
      <c r="N572" t="n">
        <v>0</v>
      </c>
      <c r="O572" t="n">
        <v>0</v>
      </c>
      <c r="P572" t="n">
        <v>0</v>
      </c>
      <c r="Q572" t="n">
        <v>0</v>
      </c>
      <c r="R572" t="n">
        <v>0</v>
      </c>
      <c r="S572" t="n">
        <v>0</v>
      </c>
      <c r="T572" t="n">
        <v>0</v>
      </c>
      <c r="U572" s="2" t="inlineStr"/>
    </row>
    <row r="573" ht="15" customHeight="1">
      <c r="A573" t="inlineStr">
        <is>
          <t>S 709-2026</t>
        </is>
      </c>
      <c r="B573" t="inlineStr">
        <is>
          <t>samrådsanmälan</t>
        </is>
      </c>
      <c r="C573" t="inlineStr">
        <is>
          <t>Askåterföring</t>
        </is>
      </c>
      <c r="D573" s="1" t="n">
        <v>46092</v>
      </c>
      <c r="E573" s="1" t="n">
        <v>46216</v>
      </c>
      <c r="F573" t="inlineStr">
        <is>
          <t>VÄSTRA GÖTALANDS LÄN</t>
        </is>
      </c>
      <c r="G573" t="inlineStr">
        <is>
          <t>TRANEMO</t>
        </is>
      </c>
      <c r="I573" t="n">
        <v>6.5</v>
      </c>
      <c r="J573" t="n">
        <v>0</v>
      </c>
      <c r="K573" t="n">
        <v>0</v>
      </c>
      <c r="L573" t="n">
        <v>0</v>
      </c>
      <c r="M573" t="n">
        <v>0</v>
      </c>
      <c r="N573" t="n">
        <v>0</v>
      </c>
      <c r="O573" t="n">
        <v>0</v>
      </c>
      <c r="P573" t="n">
        <v>0</v>
      </c>
      <c r="Q573" t="n">
        <v>0</v>
      </c>
      <c r="R573" t="n">
        <v>0</v>
      </c>
      <c r="S573" t="n">
        <v>0</v>
      </c>
      <c r="T573" t="n">
        <v>0</v>
      </c>
      <c r="U573" s="2" t="inlineStr"/>
    </row>
    <row r="574" ht="15" customHeight="1">
      <c r="A574" t="inlineStr">
        <is>
          <t>S 960-2026</t>
        </is>
      </c>
      <c r="B574" t="inlineStr">
        <is>
          <t>samrådsanmälan</t>
        </is>
      </c>
      <c r="C574" t="inlineStr">
        <is>
          <t>Askåterföring</t>
        </is>
      </c>
      <c r="D574" s="1" t="n">
        <v>46114</v>
      </c>
      <c r="E574" s="1" t="n">
        <v>46216</v>
      </c>
      <c r="F574" t="inlineStr">
        <is>
          <t>VÄSTRA GÖTALANDS LÄN</t>
        </is>
      </c>
      <c r="G574" t="inlineStr">
        <is>
          <t>TRANEMO</t>
        </is>
      </c>
      <c r="I574" t="n">
        <v>17.4</v>
      </c>
      <c r="J574" t="n">
        <v>0</v>
      </c>
      <c r="K574" t="n">
        <v>0</v>
      </c>
      <c r="L574" t="n">
        <v>0</v>
      </c>
      <c r="M574" t="n">
        <v>0</v>
      </c>
      <c r="N574" t="n">
        <v>0</v>
      </c>
      <c r="O574" t="n">
        <v>0</v>
      </c>
      <c r="P574" t="n">
        <v>0</v>
      </c>
      <c r="Q574" t="n">
        <v>0</v>
      </c>
      <c r="R574" t="n">
        <v>0</v>
      </c>
      <c r="S574" t="n">
        <v>0</v>
      </c>
      <c r="T574" t="n">
        <v>0</v>
      </c>
      <c r="U574" s="2" t="inlineStr"/>
    </row>
    <row r="575">
      <c r="A575" t="inlineStr">
        <is>
          <t>S 1360-2025</t>
        </is>
      </c>
      <c r="B575" t="inlineStr">
        <is>
          <t>samrådsanmälan</t>
        </is>
      </c>
      <c r="C575" t="inlineStr">
        <is>
          <t>Annan skogsbruksåtgärd</t>
        </is>
      </c>
      <c r="D575" s="1" t="n">
        <v>45775</v>
      </c>
      <c r="E575" s="1" t="n">
        <v>46216</v>
      </c>
      <c r="F575" t="inlineStr">
        <is>
          <t>VÄSTRA GÖTALANDS LÄN</t>
        </is>
      </c>
      <c r="G575" t="inlineStr">
        <is>
          <t>TRANEMO</t>
        </is>
      </c>
      <c r="I575" t="n">
        <v>0.7</v>
      </c>
      <c r="J575" t="n">
        <v>0</v>
      </c>
      <c r="K575" t="n">
        <v>0</v>
      </c>
      <c r="L575" t="n">
        <v>0</v>
      </c>
      <c r="M575" t="n">
        <v>0</v>
      </c>
      <c r="N575" t="n">
        <v>0</v>
      </c>
      <c r="O575" t="n">
        <v>0</v>
      </c>
      <c r="P575" t="n">
        <v>0</v>
      </c>
      <c r="Q575" t="n">
        <v>0</v>
      </c>
      <c r="R575" t="n">
        <v>0</v>
      </c>
      <c r="S575" t="n">
        <v>0</v>
      </c>
      <c r="T575" t="n">
        <v>0</v>
      </c>
      <c r="U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2026-07-13T14:52:43Z</dcterms:created>
  <dcterms:modified xmlns:dcterms="http://purl.org/dc/terms/" xmlns:xsi="http://www.w3.org/2001/XMLSchema-instance" xsi:type="dcterms:W3CDTF">2026-07-13T14:52:44Z</dcterms:modified>
</cp:coreProperties>
</file>